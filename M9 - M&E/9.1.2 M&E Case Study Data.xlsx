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dc.sharepoint.com/teams/GHC-DGHP-EBS/Shared Documents/General/GSLDS Trainings/EBS Toolkit/English/M9 - M&amp;E/"/>
    </mc:Choice>
  </mc:AlternateContent>
  <xr:revisionPtr revIDLastSave="28" documentId="13_ncr:1_{AA4CD87A-3C89-43AB-95C7-62EED8C7B724}" xr6:coauthVersionLast="47" xr6:coauthVersionMax="47" xr10:uidLastSave="{AE9A2530-74A6-430E-A860-118304A29E5B}"/>
  <bookViews>
    <workbookView xWindow="1245" yWindow="750" windowWidth="23955" windowHeight="19575" xr2:uid="{8C7DC4DA-E4E5-4ABC-822C-31569042A5A4}"/>
  </bookViews>
  <sheets>
    <sheet name="Signals list" sheetId="1" r:id="rId1"/>
    <sheet name="Reference" sheetId="5" r:id="rId2"/>
  </sheets>
  <definedNames>
    <definedName name="_xlnm._FilterDatabase" localSheetId="0" hidden="1">'Signals list'!$A$1:$AL$88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6" i="1" l="1"/>
  <c r="AF75" i="1"/>
  <c r="AF5" i="1"/>
  <c r="AF68" i="1"/>
  <c r="AH69" i="1"/>
  <c r="AH11" i="1"/>
  <c r="AH28" i="1"/>
  <c r="AH35" i="1"/>
  <c r="AH43" i="1"/>
  <c r="AH45" i="1"/>
  <c r="AH67" i="1"/>
  <c r="AH13" i="1"/>
  <c r="AH14" i="1"/>
  <c r="AH30" i="1"/>
  <c r="AH52" i="1"/>
  <c r="AH60" i="1"/>
  <c r="AH65" i="1"/>
  <c r="AH66" i="1"/>
  <c r="AH75" i="1"/>
  <c r="AH72" i="1"/>
  <c r="AH76" i="1"/>
  <c r="AH79" i="1"/>
  <c r="AH80" i="1"/>
  <c r="AH88" i="1"/>
  <c r="AH3" i="1"/>
  <c r="AH4" i="1"/>
  <c r="AH6" i="1"/>
  <c r="AH7" i="1"/>
  <c r="AH9" i="1"/>
  <c r="AH12" i="1"/>
  <c r="AH16" i="1"/>
  <c r="AH19" i="1"/>
  <c r="AH20" i="1"/>
  <c r="AH21" i="1"/>
  <c r="AH24" i="1"/>
  <c r="AH25" i="1"/>
  <c r="AH26" i="1"/>
  <c r="AH27" i="1"/>
  <c r="AH29" i="1"/>
  <c r="AH32" i="1"/>
  <c r="AH33" i="1"/>
  <c r="AH34" i="1"/>
  <c r="AH38" i="1"/>
  <c r="AH44" i="1"/>
  <c r="AH48" i="1"/>
  <c r="AH49" i="1"/>
  <c r="AH51" i="1"/>
  <c r="AH53" i="1"/>
  <c r="AH54" i="1"/>
  <c r="AH55" i="1"/>
  <c r="AH56" i="1"/>
  <c r="AH57" i="1"/>
  <c r="AH58" i="1"/>
  <c r="AH59" i="1"/>
  <c r="AH64" i="1"/>
  <c r="AH73" i="1"/>
  <c r="AH78" i="1"/>
  <c r="AH17" i="1"/>
  <c r="AH62" i="1"/>
  <c r="AC42" i="1"/>
  <c r="AC13" i="1"/>
  <c r="AC84" i="1"/>
  <c r="AC22" i="1"/>
  <c r="AC36" i="1"/>
  <c r="AC52" i="1"/>
  <c r="AC8" i="1"/>
  <c r="AC60" i="1"/>
  <c r="AC65" i="1"/>
  <c r="AC72" i="1"/>
  <c r="AC76" i="1"/>
  <c r="AC79" i="1"/>
  <c r="AC81" i="1"/>
  <c r="AC86" i="1"/>
  <c r="AC87" i="1"/>
  <c r="AC3" i="1"/>
  <c r="AC4" i="1"/>
  <c r="AC6" i="1"/>
  <c r="AC7" i="1"/>
  <c r="AC9" i="1"/>
  <c r="AC10" i="1"/>
  <c r="AC16" i="1"/>
  <c r="AC24" i="1"/>
  <c r="AC26" i="1"/>
  <c r="AC31" i="1"/>
  <c r="AC32" i="1"/>
  <c r="AC48" i="1"/>
  <c r="AC51" i="1"/>
  <c r="AC54" i="1"/>
  <c r="AC59" i="1"/>
  <c r="AC64" i="1"/>
  <c r="AC73" i="1"/>
  <c r="AC78" i="1"/>
  <c r="AC17" i="1"/>
  <c r="AC18" i="1"/>
  <c r="AC39" i="1"/>
  <c r="AC45" i="1"/>
  <c r="AC14" i="1"/>
  <c r="AC46" i="1"/>
  <c r="AC15" i="1"/>
  <c r="AC20" i="1"/>
  <c r="AC21" i="1"/>
  <c r="AC29" i="1"/>
  <c r="AC53" i="1"/>
  <c r="AC55" i="1"/>
  <c r="AC43" i="1"/>
  <c r="AC70" i="1"/>
  <c r="AC19" i="1"/>
  <c r="AC40" i="1"/>
  <c r="AC56" i="1"/>
  <c r="AC77" i="1"/>
  <c r="AC71" i="1"/>
  <c r="AC69" i="1"/>
  <c r="AC28" i="1"/>
  <c r="AB69" i="1"/>
  <c r="AB77" i="1"/>
  <c r="AB28" i="1"/>
  <c r="AB39" i="1"/>
  <c r="AB42" i="1"/>
  <c r="AB43" i="1"/>
  <c r="AB45" i="1"/>
  <c r="AB13" i="1"/>
  <c r="AB14" i="1"/>
  <c r="AB84" i="1"/>
  <c r="AB22" i="1"/>
  <c r="AB36" i="1"/>
  <c r="AB46" i="1"/>
  <c r="AB52" i="1"/>
  <c r="AB70" i="1"/>
  <c r="AB8" i="1"/>
  <c r="AB60" i="1"/>
  <c r="AB65" i="1"/>
  <c r="AB71" i="1"/>
  <c r="AB72" i="1"/>
  <c r="AB76" i="1"/>
  <c r="AB79" i="1"/>
  <c r="AB81" i="1"/>
  <c r="AB86" i="1"/>
  <c r="AB87" i="1"/>
  <c r="AB3" i="1"/>
  <c r="AB4" i="1"/>
  <c r="AB6" i="1"/>
  <c r="AB7" i="1"/>
  <c r="AB9" i="1"/>
  <c r="AB10" i="1"/>
  <c r="AB15" i="1"/>
  <c r="AB16" i="1"/>
  <c r="AB19" i="1"/>
  <c r="AB20" i="1"/>
  <c r="AB21" i="1"/>
  <c r="AB24" i="1"/>
  <c r="AB26" i="1"/>
  <c r="AB29" i="1"/>
  <c r="AB31" i="1"/>
  <c r="AB32" i="1"/>
  <c r="AB40" i="1"/>
  <c r="AB48" i="1"/>
  <c r="AB51" i="1"/>
  <c r="AB53" i="1"/>
  <c r="AB54" i="1"/>
  <c r="AB55" i="1"/>
  <c r="AB56" i="1"/>
  <c r="AB59" i="1"/>
  <c r="AB64" i="1"/>
  <c r="AB73" i="1"/>
  <c r="AB78" i="1"/>
  <c r="AB17" i="1"/>
  <c r="AB18" i="1"/>
  <c r="V63" i="1"/>
  <c r="W63" i="1" s="1"/>
  <c r="V77" i="1"/>
  <c r="W77" i="1" s="1"/>
  <c r="V85" i="1"/>
  <c r="W85" i="1" s="1"/>
  <c r="V11" i="1"/>
  <c r="W11" i="1" s="1"/>
  <c r="V35" i="1"/>
  <c r="W35" i="1" s="1"/>
  <c r="V39" i="1"/>
  <c r="W39" i="1" s="1"/>
  <c r="V42" i="1"/>
  <c r="W42" i="1" s="1"/>
  <c r="V43" i="1"/>
  <c r="W43" i="1" s="1"/>
  <c r="V45" i="1"/>
  <c r="W45" i="1" s="1"/>
  <c r="V47" i="1"/>
  <c r="W47" i="1" s="1"/>
  <c r="V50" i="1"/>
  <c r="W50" i="1" s="1"/>
  <c r="V67" i="1"/>
  <c r="W67" i="1" s="1"/>
  <c r="V82" i="1"/>
  <c r="W82" i="1" s="1"/>
  <c r="V2" i="1"/>
  <c r="W2" i="1" s="1"/>
  <c r="V13" i="1"/>
  <c r="W13" i="1" s="1"/>
  <c r="V14" i="1"/>
  <c r="W14" i="1" s="1"/>
  <c r="V74" i="1"/>
  <c r="W74" i="1" s="1"/>
  <c r="V84" i="1"/>
  <c r="W84" i="1" s="1"/>
  <c r="V22" i="1"/>
  <c r="W22" i="1" s="1"/>
  <c r="V30" i="1"/>
  <c r="W30" i="1" s="1"/>
  <c r="V36" i="1"/>
  <c r="W36" i="1" s="1"/>
  <c r="V52" i="1"/>
  <c r="W52" i="1" s="1"/>
  <c r="V70" i="1"/>
  <c r="W70" i="1" s="1"/>
  <c r="V8" i="1"/>
  <c r="W8" i="1" s="1"/>
  <c r="V37" i="1"/>
  <c r="W37" i="1" s="1"/>
  <c r="V60" i="1"/>
  <c r="W60" i="1" s="1"/>
  <c r="V65" i="1"/>
  <c r="W65" i="1" s="1"/>
  <c r="V72" i="1"/>
  <c r="W72" i="1" s="1"/>
  <c r="V79" i="1"/>
  <c r="W79" i="1" s="1"/>
  <c r="V80" i="1"/>
  <c r="W80" i="1" s="1"/>
  <c r="V86" i="1"/>
  <c r="W86" i="1" s="1"/>
  <c r="V87" i="1"/>
  <c r="W87" i="1" s="1"/>
  <c r="V88" i="1"/>
  <c r="W88" i="1" s="1"/>
  <c r="V4" i="1"/>
  <c r="W4" i="1" s="1"/>
  <c r="V6" i="1"/>
  <c r="W6" i="1" s="1"/>
  <c r="V7" i="1"/>
  <c r="W7" i="1" s="1"/>
  <c r="V9" i="1"/>
  <c r="W9" i="1" s="1"/>
  <c r="V10" i="1"/>
  <c r="W10" i="1" s="1"/>
  <c r="V12" i="1"/>
  <c r="W12" i="1" s="1"/>
  <c r="V15" i="1"/>
  <c r="W15" i="1" s="1"/>
  <c r="V16" i="1"/>
  <c r="W16" i="1" s="1"/>
  <c r="V19" i="1"/>
  <c r="W19" i="1" s="1"/>
  <c r="V20" i="1"/>
  <c r="W20" i="1" s="1"/>
  <c r="V21" i="1"/>
  <c r="W21" i="1" s="1"/>
  <c r="V23" i="1"/>
  <c r="W23" i="1" s="1"/>
  <c r="V24" i="1"/>
  <c r="W24" i="1" s="1"/>
  <c r="V25" i="1"/>
  <c r="W25" i="1" s="1"/>
  <c r="V27" i="1"/>
  <c r="W27" i="1" s="1"/>
  <c r="V29" i="1"/>
  <c r="W29" i="1" s="1"/>
  <c r="V31" i="1"/>
  <c r="W31" i="1" s="1"/>
  <c r="V33" i="1"/>
  <c r="W33" i="1" s="1"/>
  <c r="V34" i="1"/>
  <c r="W34" i="1" s="1"/>
  <c r="V38" i="1"/>
  <c r="W38" i="1" s="1"/>
  <c r="V41" i="1"/>
  <c r="W41" i="1" s="1"/>
  <c r="V44" i="1"/>
  <c r="W44" i="1" s="1"/>
  <c r="V48" i="1"/>
  <c r="W48" i="1" s="1"/>
  <c r="V49" i="1"/>
  <c r="W49" i="1" s="1"/>
  <c r="V51" i="1"/>
  <c r="W51" i="1" s="1"/>
  <c r="V53" i="1"/>
  <c r="W53" i="1" s="1"/>
  <c r="V55" i="1"/>
  <c r="W55" i="1" s="1"/>
  <c r="V56" i="1"/>
  <c r="W56" i="1" s="1"/>
  <c r="V57" i="1"/>
  <c r="W57" i="1" s="1"/>
  <c r="V58" i="1"/>
  <c r="W58" i="1" s="1"/>
  <c r="V59" i="1"/>
  <c r="W59" i="1" s="1"/>
  <c r="V61" i="1"/>
  <c r="W61" i="1" s="1"/>
  <c r="V64" i="1"/>
  <c r="W64" i="1" s="1"/>
  <c r="V73" i="1"/>
  <c r="W73" i="1" s="1"/>
  <c r="V78" i="1"/>
  <c r="W78" i="1" s="1"/>
  <c r="V83" i="1"/>
  <c r="W83" i="1" s="1"/>
  <c r="V62" i="1"/>
  <c r="W62" i="1" s="1"/>
  <c r="J62" i="1"/>
  <c r="J69" i="1"/>
  <c r="J11" i="1"/>
  <c r="J35" i="1"/>
  <c r="J42" i="1"/>
  <c r="J47" i="1"/>
  <c r="J67" i="1"/>
  <c r="J82" i="1"/>
  <c r="J13" i="1"/>
  <c r="J14" i="1"/>
  <c r="J8" i="1"/>
  <c r="J37" i="1"/>
  <c r="J76" i="1"/>
  <c r="J4" i="1"/>
  <c r="J5" i="1"/>
  <c r="J6" i="1"/>
  <c r="J12" i="1"/>
  <c r="J20" i="1"/>
  <c r="J21" i="1"/>
  <c r="J24" i="1"/>
  <c r="J25" i="1"/>
  <c r="J27" i="1"/>
  <c r="J29" i="1"/>
  <c r="J32" i="1"/>
  <c r="J38" i="1"/>
  <c r="J40" i="1"/>
  <c r="J44" i="1"/>
  <c r="J48" i="1"/>
  <c r="J49" i="1"/>
  <c r="J51" i="1"/>
  <c r="J54" i="1"/>
  <c r="J57" i="1"/>
  <c r="J58" i="1"/>
  <c r="J59" i="1"/>
  <c r="J73" i="1"/>
  <c r="J78" i="1"/>
  <c r="J43" i="1"/>
  <c r="AF25" i="1" l="1"/>
  <c r="AF24" i="1"/>
  <c r="AF72" i="1"/>
  <c r="AF49" i="1"/>
  <c r="AF77" i="1"/>
  <c r="AF7" i="1"/>
  <c r="AF65" i="1"/>
  <c r="AF6" i="1"/>
  <c r="AF8" i="1"/>
  <c r="AF73" i="1"/>
  <c r="AF70" i="1"/>
  <c r="AF4" i="1"/>
  <c r="AF57" i="1"/>
  <c r="AF34" i="1"/>
  <c r="AF19" i="1"/>
  <c r="AF67" i="1"/>
  <c r="AF22" i="1"/>
  <c r="AF59" i="1"/>
  <c r="AF33" i="1"/>
  <c r="AF31" i="1"/>
  <c r="AF52" i="1"/>
  <c r="AF41" i="1"/>
  <c r="AF21" i="1"/>
  <c r="AF86" i="1"/>
  <c r="AF55" i="1"/>
  <c r="AF83" i="1"/>
  <c r="AF53" i="1"/>
  <c r="AF29" i="1"/>
  <c r="AF10" i="1"/>
  <c r="AF79" i="1"/>
  <c r="AF48" i="1"/>
  <c r="AF64" i="1"/>
  <c r="AF61" i="1"/>
  <c r="AF74" i="1"/>
  <c r="AF56" i="1"/>
  <c r="AF16" i="1"/>
  <c r="AF15" i="1"/>
  <c r="AF78" i="1"/>
  <c r="AF51" i="1"/>
  <c r="AF9" i="1"/>
  <c r="AF36" i="1"/>
  <c r="AF45" i="1"/>
  <c r="AF43" i="1"/>
  <c r="AF42" i="1"/>
  <c r="AF39" i="1"/>
  <c r="AF14" i="1"/>
  <c r="AF44" i="1"/>
  <c r="AF38" i="1"/>
  <c r="AF20" i="1"/>
  <c r="AF60" i="1"/>
  <c r="AF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Mize</author>
  </authors>
  <commentList>
    <comment ref="V1" authorId="0" shapeId="0" xr:uid="{3EDF123A-0E67-4665-89B0-3FF5CC6D9564}">
      <text>
        <r>
          <rPr>
            <b/>
            <sz val="9"/>
            <color indexed="81"/>
            <rFont val="Tahoma"/>
            <charset val="1"/>
          </rPr>
          <t>Earliest date from any level requested (columns R-U)</t>
        </r>
      </text>
    </comment>
    <comment ref="W1" authorId="0" shapeId="0" xr:uid="{E6459A9A-0D28-49B7-A19E-381A18C65B61}">
      <text>
        <r>
          <rPr>
            <b/>
            <sz val="9"/>
            <color indexed="81"/>
            <rFont val="Tahoma"/>
            <charset val="1"/>
          </rPr>
          <t>Time in days between date of detection (column K) and earliest verification date (column V).
=V-K</t>
        </r>
      </text>
    </comment>
    <comment ref="AB1" authorId="0" shapeId="0" xr:uid="{0BD45A4D-9515-4B5A-9A14-8D8B6E249019}">
      <text>
        <r>
          <rPr>
            <b/>
            <sz val="9"/>
            <color indexed="81"/>
            <rFont val="Tahoma"/>
            <charset val="1"/>
          </rPr>
          <t>Time in days between date of conducting RA (column AA) and date of signal classification (column Y).
=AA-Y</t>
        </r>
      </text>
    </comment>
    <comment ref="AC1" authorId="0" shapeId="0" xr:uid="{B25C9E02-0209-4904-9954-04F33FE00C9C}">
      <text>
        <r>
          <rPr>
            <b/>
            <sz val="9"/>
            <color indexed="81"/>
            <rFont val="Tahoma"/>
            <charset val="1"/>
          </rPr>
          <t>Time in days between date of conducting RA (column AA) and date of detection (column K)
=AA-K</t>
        </r>
      </text>
    </comment>
    <comment ref="AF1" authorId="0" shapeId="0" xr:uid="{E91BC268-7048-4CF4-858A-345E3FD8E822}">
      <text>
        <r>
          <rPr>
            <b/>
            <sz val="9"/>
            <color indexed="81"/>
            <rFont val="Tahoma"/>
            <charset val="1"/>
          </rPr>
          <t>Time in days between date first response measures began (column AE) and earliest verification date (column V).
=AE-V</t>
        </r>
      </text>
    </comment>
    <comment ref="AH1" authorId="0" shapeId="0" xr:uid="{6CFC7BCF-8B09-4ED5-903D-23E8BDC5E77F}">
      <text>
        <r>
          <rPr>
            <b/>
            <sz val="9"/>
            <color indexed="81"/>
            <rFont val="Tahoma"/>
            <charset val="1"/>
          </rPr>
          <t>Time in days between date of detection (column K) and date of onset (column AG).
=K-AG</t>
        </r>
      </text>
    </comment>
  </commentList>
</comments>
</file>

<file path=xl/sharedStrings.xml><?xml version="1.0" encoding="utf-8"?>
<sst xmlns="http://schemas.openxmlformats.org/spreadsheetml/2006/main" count="1201" uniqueCount="381">
  <si>
    <t>Signal Number</t>
  </si>
  <si>
    <t>Signal</t>
  </si>
  <si>
    <t>Signal Type</t>
  </si>
  <si>
    <t>Description</t>
  </si>
  <si>
    <t>Village</t>
  </si>
  <si>
    <t>County</t>
  </si>
  <si>
    <t>State</t>
  </si>
  <si>
    <t>Cases</t>
  </si>
  <si>
    <t>Deaths</t>
  </si>
  <si>
    <t>Raw case fatality rate (%)</t>
  </si>
  <si>
    <t>Date of detection</t>
  </si>
  <si>
    <t>Epidemiological Week</t>
  </si>
  <si>
    <t>Source</t>
  </si>
  <si>
    <t>Media Source</t>
  </si>
  <si>
    <t>Website link</t>
  </si>
  <si>
    <t>Date of signal publication</t>
  </si>
  <si>
    <t>Verification request sent?</t>
  </si>
  <si>
    <t>Date verification request to Local focal points</t>
  </si>
  <si>
    <t>Date verification request to the County</t>
  </si>
  <si>
    <t>Date verification request to the State</t>
  </si>
  <si>
    <t>Date verification request to National level</t>
  </si>
  <si>
    <t>Earliest Verification Date</t>
  </si>
  <si>
    <t>Time to verification (days)</t>
  </si>
  <si>
    <t>Final classification</t>
  </si>
  <si>
    <t>Date of signal classification</t>
  </si>
  <si>
    <t>Risk Assessment Classification</t>
  </si>
  <si>
    <t>Date of conducting Risk Assessment</t>
  </si>
  <si>
    <t>Time to Conduct Risk Assessment (days)</t>
  </si>
  <si>
    <t>Time to Assess Risk (days)</t>
  </si>
  <si>
    <t>Date Invesitgation Began</t>
  </si>
  <si>
    <t>Date first response measures began</t>
  </si>
  <si>
    <t>Time to Response (days)</t>
  </si>
  <si>
    <t>Date of Onset</t>
  </si>
  <si>
    <t>Time to Detection (days)</t>
  </si>
  <si>
    <t>Date of Lab Diagnosis</t>
  </si>
  <si>
    <t>Date Event Closed</t>
  </si>
  <si>
    <t>Analyst</t>
  </si>
  <si>
    <t>Comments</t>
  </si>
  <si>
    <t>Undiagnosed illness</t>
  </si>
  <si>
    <t>Human</t>
  </si>
  <si>
    <t>Cases of an undiagnosed disease were reported last week from Tucana village in Delta County. According to social media postings there have been five deaths in the last week, with the most recent death occurring yesterday.</t>
  </si>
  <si>
    <t>Tucana</t>
  </si>
  <si>
    <t>Delta</t>
  </si>
  <si>
    <t>Northeast</t>
  </si>
  <si>
    <t>National Media Scanning Team</t>
  </si>
  <si>
    <t>Facebook</t>
  </si>
  <si>
    <t>https://www.facebook.com/2343194112541428&amp;ref=sharing</t>
  </si>
  <si>
    <t>Yes</t>
  </si>
  <si>
    <t>Discarded</t>
  </si>
  <si>
    <t>Maria</t>
  </si>
  <si>
    <t>Diagnosis malaria</t>
  </si>
  <si>
    <t>Undiagnosed illness (in cattle)</t>
  </si>
  <si>
    <t>Animal</t>
  </si>
  <si>
    <t>According to Northeast State Governor, pastoralists have reported more than 13,000 heads of cattle have died of a mysterious disease since last month.</t>
  </si>
  <si>
    <t>State Wildlife Office</t>
  </si>
  <si>
    <t>Stephen</t>
  </si>
  <si>
    <t>The Governor had been misquoted and the actual figure of dead cattle was estimated at a more reasonable 1,300.</t>
  </si>
  <si>
    <t>VHF</t>
  </si>
  <si>
    <t>A Sigma County Surveillance Officer reported an alert from community health workers reporting six cases including one death in the area from suspected VHF cases. An investigation team made up of state, county, and partner organizations have reportedly collected samples from the suspected cases.</t>
  </si>
  <si>
    <t>Sigma</t>
  </si>
  <si>
    <t>East</t>
  </si>
  <si>
    <t>County Surveillance Office</t>
  </si>
  <si>
    <t>No</t>
  </si>
  <si>
    <t>Verified - Keep monitoring</t>
  </si>
  <si>
    <t>Moderate</t>
  </si>
  <si>
    <t>Pending</t>
  </si>
  <si>
    <t>No definitive causal agent found after 1 week and case definition is very loose. No additional cases have been reported after initial investigation.</t>
  </si>
  <si>
    <t>Mudslides</t>
  </si>
  <si>
    <t>Environmental</t>
  </si>
  <si>
    <t>35 deaths and several houses destroyed after torrential rains have triggered mudslides in Beta County, Northeast.</t>
  </si>
  <si>
    <t>Beta</t>
  </si>
  <si>
    <t>GPHIN</t>
  </si>
  <si>
    <t>https://gphin.canada.ca/cepr/showarticle.1014274608</t>
  </si>
  <si>
    <t>Verified - New event</t>
  </si>
  <si>
    <t>High</t>
  </si>
  <si>
    <t>Mohammed</t>
  </si>
  <si>
    <t>Communication and access to affected area is extremely difficult</t>
  </si>
  <si>
    <t>Anthrax</t>
  </si>
  <si>
    <t>Sculptor</t>
  </si>
  <si>
    <t>Omicron</t>
  </si>
  <si>
    <t>West</t>
  </si>
  <si>
    <t>-</t>
  </si>
  <si>
    <t>State Hotline Team</t>
  </si>
  <si>
    <t>Pending verification</t>
  </si>
  <si>
    <t>Area experiences sporadic anthrax cases and lab results are so far unconfirmed</t>
  </si>
  <si>
    <t>Unexplained deaths</t>
  </si>
  <si>
    <t>7 cases, including 2 unexplained deaths among school children in Lambda County, North State</t>
  </si>
  <si>
    <t>Lambda</t>
  </si>
  <si>
    <t>North</t>
  </si>
  <si>
    <t>No epilinkage for the cases were established. Cases were not considered a cluster.</t>
  </si>
  <si>
    <t>Carcasses of livestock in the Aquila area of Chi County were found dead due to anthrax (laboratory confirmed). Community members were exposed due to skinning, preparing, and eating the carcasses, however, there have not been any suspected cases of anthrax in community members.</t>
  </si>
  <si>
    <t>Aquila</t>
  </si>
  <si>
    <t>Chi</t>
  </si>
  <si>
    <t>County Health Facility</t>
  </si>
  <si>
    <t>Low</t>
  </si>
  <si>
    <t>We will continue to monitor this event, but not report it as an event until human cases are suspected. Sporadic anthrax cases in livestock is not uncommon in this area.</t>
  </si>
  <si>
    <t>Crimean Congo Haemorrhagic Fever</t>
  </si>
  <si>
    <t>A 32-year-old male, who died at Delta County Hospital in Northeast, tested positive with Crimean-Congo hemorrhagic fever. He was buried in Corvus. 11 suspected cases have been quarantined in their homes in Tucana village.</t>
  </si>
  <si>
    <t>State Media Scanning Team</t>
  </si>
  <si>
    <t>https://www.facebook.com/234732880231428&amp;ref=sharing</t>
  </si>
  <si>
    <t>George</t>
  </si>
  <si>
    <t>CCHF endemic in the area and not out of the normal.</t>
  </si>
  <si>
    <t>Landslide</t>
  </si>
  <si>
    <t>EIOS</t>
  </si>
  <si>
    <t>Disaster</t>
  </si>
  <si>
    <t>27 deaths, 36 hospitalizations, 500 homes destroyed after dam break-up consecutive to flooding in Northeast State.</t>
  </si>
  <si>
    <t>Digital Journal</t>
  </si>
  <si>
    <t>http://www.digitaljournal.com/news/at-least-20-dead-after-dam-bursts/article/521838</t>
  </si>
  <si>
    <t>Cholera</t>
  </si>
  <si>
    <t>Two people have died and more than 50 others are admitted to Northeast State hospital following a suspected cholera outbreak attributed to the heavy rains and floods that have led to deteriorating sanitation standards in the state.</t>
  </si>
  <si>
    <t>State Surveillance Office</t>
  </si>
  <si>
    <t>60 people were reported ill this week after they ate meat from cattle that died of anthrax in Corvus last Saturday. About 55 were rushed to nearby clinics while 18 of them were given prophylaxis and treated as out-patients. Most of the victims developed blisters and had swollen limbs while others suffered from severe stomach-aches and diarrhea. So far more than 20 cattle have died from anthrax.</t>
  </si>
  <si>
    <t>Corvus</t>
  </si>
  <si>
    <t>Lab results pending</t>
  </si>
  <si>
    <t>RVF</t>
  </si>
  <si>
    <t>Ara, Columba</t>
  </si>
  <si>
    <t>Theta</t>
  </si>
  <si>
    <t>Northwest</t>
  </si>
  <si>
    <t>N/A</t>
  </si>
  <si>
    <t>The two additional rumors are being investigated.</t>
  </si>
  <si>
    <t>Measles</t>
  </si>
  <si>
    <t>Increased incidence of measles cases in Andromeda City, West State, with many affected children being referred to state hospitals and the death of a 5-year-old child reported.</t>
  </si>
  <si>
    <t>Andromeda</t>
  </si>
  <si>
    <t>Iota</t>
  </si>
  <si>
    <t>&gt;10</t>
  </si>
  <si>
    <t>https://ww.news4andromeda.net//203840329</t>
  </si>
  <si>
    <t>Ongoing</t>
  </si>
  <si>
    <t>Measles thresholds not crossed.</t>
  </si>
  <si>
    <t>One confirmed dead and 49 others isolated following an outbreak of CCHF in Alpha County.</t>
  </si>
  <si>
    <t>Alpha</t>
  </si>
  <si>
    <t>https://www.facebook.com/23473804938403294428&amp;ref=sharing</t>
  </si>
  <si>
    <t>Doctor diagnosed CCHF but two lab tests were negative. Quarantined contacts have not worsened.</t>
  </si>
  <si>
    <t>Yellow Fever</t>
  </si>
  <si>
    <t xml:space="preserve">A strange disease suspected to be yellow fever has struck some communities in Zeta County, Southwest State, allegedly resulting in the death of no fewer than 115 in the last 27 days. </t>
  </si>
  <si>
    <t>Zeta</t>
  </si>
  <si>
    <t>Southwest</t>
  </si>
  <si>
    <t>Media report was not true according to mortality reports by State Surveillance Office. County Officers have not noticed increased deaths.</t>
  </si>
  <si>
    <t>Malaria</t>
  </si>
  <si>
    <t>National Surveillance Office confirmed the trends but have stated that outbreak thresholds have not been crossed.</t>
  </si>
  <si>
    <t>Nipah Virus</t>
  </si>
  <si>
    <t>Epsilon, Omega</t>
  </si>
  <si>
    <t xml:space="preserve">Cholera in Prison </t>
  </si>
  <si>
    <t>Robert</t>
  </si>
  <si>
    <t>Animal Health Officers reported 14 cases of anthrax this week in West State: Omicron County (11), Iota County (2) and Nu County (1).</t>
  </si>
  <si>
    <t>Omicron, Iota, Nu</t>
  </si>
  <si>
    <t>Anthrax thresholds not crossed for this area.</t>
  </si>
  <si>
    <t>According to East State Medical Director the state has been recording between 800 and 1 000 malaria cases every week for the past three weeks. He said: East state has districts with the highest incidence for malaria nationally. To date, we have lost more than 100 people to malaria this year, which is a big number compared to around 80 at the same time last year.</t>
  </si>
  <si>
    <t>&gt;100</t>
  </si>
  <si>
    <t>National Surveillance Office</t>
  </si>
  <si>
    <t>H5N1</t>
  </si>
  <si>
    <t>A suspected H5N1 outbreak in 2 hotspots in Omicron County were confirmed by animal health services. First sample were taken from the two farms by the veterinary services, which proved positive for avian influenza at the H5N1 strain in both foci. Barrier measures were encouraged and the premises were disinfected in both homes by the veterinary services. The samples were sent to international reference laboratories for confirmation, according to the animal health protocol.</t>
  </si>
  <si>
    <t>Brucellosis</t>
  </si>
  <si>
    <t>40 human cases of brucellosis.119 goats infected from a herd of 155 were detected in Alpha County.</t>
  </si>
  <si>
    <t>yes</t>
  </si>
  <si>
    <t>Animal health officers are pending response for verification</t>
  </si>
  <si>
    <t xml:space="preserve">Avian influenza </t>
  </si>
  <si>
    <t>A second outbreak of avian influenza is ocurring caused by the highly pathogenic H5 virus, on a broiler breeder farm in Northwest State. The farm has had to cull 7,000 broiler breeder birds, and some of their remains were sent to the National Veterinary Research Institute for analysis and sequencing. The strain of the avian flu previously detected in the first outbreak has been identified as Highly Pathogenic Avian Influenza (HPAI) H5N1 and is different from the 2017 outbreak.</t>
  </si>
  <si>
    <t>National Ministry of Wildlife</t>
  </si>
  <si>
    <t>Wildfires</t>
  </si>
  <si>
    <t>National Ministry of Agriculture</t>
  </si>
  <si>
    <t xml:space="preserve">Mass food poisoning </t>
  </si>
  <si>
    <t>On Friday evening, about 100 people in Zeta County were exposed to severe food poisoning, so many them were referred to the hospital in order to receive first aid.</t>
  </si>
  <si>
    <t>https://www.facebook.com/23123403294428&amp;ref=sharing</t>
  </si>
  <si>
    <t>Upsilon County has confirmed outbreak of HPAI H5N1 in a traditional poultry farm in the town of Crux, in East State, 40km south-east of Dorado.</t>
  </si>
  <si>
    <t>Crux</t>
  </si>
  <si>
    <t>Upsilon</t>
  </si>
  <si>
    <t>http://cruxnews.net/news/avian-flu-cases-reported</t>
  </si>
  <si>
    <t>Lassa fever</t>
  </si>
  <si>
    <t>Andromeda City registered 361,944 cases of malaria in the last three months, with 858 deaths, representing 161,850 more cases and 294 more deaths compared to the same period last year.</t>
  </si>
  <si>
    <t>https://ww.news4andromeda.net//malariareports/article-234324</t>
  </si>
  <si>
    <t>Jean</t>
  </si>
  <si>
    <t>The Q1 malaria trends are normal according to National Surveillance Office.</t>
  </si>
  <si>
    <t>Crimean Congo Hemorhagic Fever</t>
  </si>
  <si>
    <t xml:space="preserve">Possible spillover event detected. Animal cases of CCHF have not been detected in 8 years and human case has never been detected before in this county. </t>
  </si>
  <si>
    <t xml:space="preserve">County Health Facility </t>
  </si>
  <si>
    <t>Sarah</t>
  </si>
  <si>
    <t>80% of cases have recovered</t>
  </si>
  <si>
    <t>Monkeypox</t>
  </si>
  <si>
    <t>The sample collected tested negative to MPX</t>
  </si>
  <si>
    <t>State Agriculture Office</t>
  </si>
  <si>
    <t>Yellow fever</t>
  </si>
  <si>
    <t>YF was never confirmed in the suspected individuals.</t>
  </si>
  <si>
    <t>Chikungunya</t>
  </si>
  <si>
    <t>Rho</t>
  </si>
  <si>
    <t>Undiagnosed disease</t>
  </si>
  <si>
    <t>Ursa</t>
  </si>
  <si>
    <t>Risk assessment considered factor of remoteness of the location.</t>
  </si>
  <si>
    <t>Mercy Refugee Camp</t>
  </si>
  <si>
    <t>Pending lab results which were insufficiently collected, but case definition currently results in 12 cases. No further cases have been found. Potentially discard</t>
  </si>
  <si>
    <t>Dengue</t>
  </si>
  <si>
    <t>Delphinus</t>
  </si>
  <si>
    <t>The County Surveillance Office clarified that dengue is endemic and while there is a cluster the overall trends do not indicate an outbreak at this time.</t>
  </si>
  <si>
    <t xml:space="preserve">Heavy Rain </t>
  </si>
  <si>
    <t>Delphinus, Lacerta, Bimba, Canis</t>
  </si>
  <si>
    <t>Pertussis</t>
  </si>
  <si>
    <t>According to State Surveillance Officers an increase in pertussis cases has been reported in East State among children younger than five years of age, particularly among infants younger than three months. The current increases have mostly been reported in Sigma County.</t>
  </si>
  <si>
    <t>Kim</t>
  </si>
  <si>
    <t>Immunization campaign planned but eventually cancelled.</t>
  </si>
  <si>
    <t>Unknown disease</t>
  </si>
  <si>
    <t>Gamma</t>
  </si>
  <si>
    <t>South</t>
  </si>
  <si>
    <t>Cases were too sporadic to be a cluster. Environmental samples were inconclusive with plans for retesting.</t>
  </si>
  <si>
    <t>Iota County Surveillance Officers reported an initial confirmation of a cholera culture in a 10 year old girl in Andromeda City on 8th January 2023. The surveillance officers received information from the County Laboratory.</t>
  </si>
  <si>
    <t>So far only 1 case has come forward, not other cases have been detected.</t>
  </si>
  <si>
    <t>Diphtheria</t>
  </si>
  <si>
    <t>78 suspected cases of diphtheria in 3 villages (Tucana, Corvus, and Lynx) of Delta County including eight confirmed cases and three deaths among confirmed cases; 15 deaths from probable cases are reported as of 18 January 2023</t>
  </si>
  <si>
    <t>Tucana, Corvus, Lynx</t>
  </si>
  <si>
    <t>A positive case of Rift Valley Fever in Omega County has been reported from the Northwest State Hospital. The case was admitted to the State hospital and was sampled after being referred from the county hospital. The case died before laboratory tests were completed. More information on this signal including epidemiological details of the case are being gathered.</t>
  </si>
  <si>
    <t>Omega</t>
  </si>
  <si>
    <t>State Health Facility</t>
  </si>
  <si>
    <t>Sporadic cases in this county are not uncommon. Case lived alone on a farm.</t>
  </si>
  <si>
    <t>Suspected meningitis</t>
  </si>
  <si>
    <t>14 cases including five deaths were reported in the village of Lyra, South State, due to a suspected outbreak of meningitis. An outbreak investigation mission was conducted and a sample (cerebrospinal fluid) was collected for laboratory confirmation, results are pending from the National Laboratory.</t>
  </si>
  <si>
    <t>Lyra</t>
  </si>
  <si>
    <t>Suspected hemorragic fever</t>
  </si>
  <si>
    <t>Rho County Surveillance Officers reported 9 deaths in less than a month, from January 7 to February 6, 2023. Symptoms reported are fever, asthenia, diarrhoea, and vomiting blood. Three of the four family members who were in the car with one of the deceased on January 24 also died.</t>
  </si>
  <si>
    <t>Lab results inconclusive</t>
  </si>
  <si>
    <t>Floods</t>
  </si>
  <si>
    <t>Flooding has displaced hundreds of people in the town of Monoceros in East State. Two people have died and one is missing after being swept away by overflowing rivers. Flooding has impacted parts of the refugee camps where some have been forced to close.</t>
  </si>
  <si>
    <t>https://floodlist.com/eaststate-flooding-february-2023</t>
  </si>
  <si>
    <t>Verification not initialy sent, the impact was assessed as low and the signal was kept under monitoring but 3 days later the Governor of East declared a State of Disaster due to the deterioration of the situation</t>
  </si>
  <si>
    <t>A mysterious illness claimed the life of an infant and resulted in the hospitalization of four members of his family (his three siblings – a 4-year-old girl and two boys aged 6 and 7 – and their 23-year-old aunt) in Ursa Village on Saturday, 11 February. They were having dinner as usual when they suddenly fell ill.</t>
  </si>
  <si>
    <t>National Hotline Team</t>
  </si>
  <si>
    <t>Presumed to be an isolated incident of food poisioning.</t>
  </si>
  <si>
    <t xml:space="preserve">Rift Valley fever </t>
  </si>
  <si>
    <t>According to confidential information from FAO, around 15 bovine samples are confirmed for RVF in Omega County. In addition, local media have reported at least one fatal human case in the same area</t>
  </si>
  <si>
    <t xml:space="preserve">cholera </t>
  </si>
  <si>
    <t>Two cholera cases were notified in Omicron County, West State by State Surveillance Officers with one confirmed on 15th February 2023 and another still under investigation. For the confirmed case, the symptom's (watery diarrhoea and vomiting) onset date was on the 12th of February, 2023. The second case was reported on  17th February 2023 in the same County.</t>
  </si>
  <si>
    <t>West State Surveillance Office has discovered a number of cases of measles in children in three neighborhoods of Andromeda City, the capital city. The cases discovered were in children who had not completed their vaccinations</t>
  </si>
  <si>
    <t xml:space="preserve">Community Health Workers in Indus and Apus villages in Rho County reported a cluster of 3 and 4 people, respectively presenting with symptoms including fever, vomiting, bleeding from different body sites and renal failure. A total of five of the people have died and the other two remain hospitalised. The Ministry of Health has published a press release reporting an unknown illness. </t>
  </si>
  <si>
    <t>Indus, Apus</t>
  </si>
  <si>
    <t>All lab results inconclusive</t>
  </si>
  <si>
    <t>Gastrointestinal disease outbreak</t>
  </si>
  <si>
    <t xml:space="preserve">From 14 March - 11 April 2023, a total of 292 students have been listed for a disease outbreak presenting as gastroenteritis from Hydra Girls' and Hercules Boys’ Schools in Iota County. As of 11 April, a total of 56 hospital admissions and 3 deaths have occurred. Initial diagnostic tests have ruled out VHFs, however, secondary testing is being conducted.  </t>
  </si>
  <si>
    <t>No positive lab results.</t>
  </si>
  <si>
    <t>Suspected anthrax</t>
  </si>
  <si>
    <t>A 73-year-old man died, and dozens of others were hospitalized after eating meat from a cow suspected of being infected with anthrax in Sculptor village, Omicron County.</t>
  </si>
  <si>
    <t>Community health workers stated this was a rumor.</t>
  </si>
  <si>
    <t>Thirteen (13) children, aged zero to two years, died of an unknown disease in the rural area of Pictor.</t>
  </si>
  <si>
    <t>Pictor</t>
  </si>
  <si>
    <t>Cases believed to have injested toxic medication. Post-mortem toxicology results pending.</t>
  </si>
  <si>
    <t>Viral hemorrhagic fever suspected</t>
  </si>
  <si>
    <t>Gamma County Hospital reported a suspected Ebola case recorded in a pupil from Antlia Elementary School not far from the international border. She died on the same day at Gamma County Hospital. State Laboratory results were found negative for Ebola and various VHFs.</t>
  </si>
  <si>
    <t xml:space="preserve">Contacts had been quarantined even before case had been notified. All completed the quarantine period without symptoms. </t>
  </si>
  <si>
    <t>Polio</t>
  </si>
  <si>
    <t>A case of poliomyelitis caused by a vaccine-derived strain has been confirmed in Alpha County, Northwest State.</t>
  </si>
  <si>
    <t>Case developed AFP in late Dec, but received lab confirmation of Polio in March.</t>
  </si>
  <si>
    <t>An as yet unidentified disease has claimed three lives in three days in Corvus, Delta County (2), and Delphinus, Beta County (1) in Northeast State. The symptoms developed by the patients are similar to those of the hemorrhagic Ebola virus or the Marburg virus disease.</t>
  </si>
  <si>
    <t>Local, County and State authorities all stated the cases were found to have died of malaria but rumors in the community had been spread about the individuals having Ebola.</t>
  </si>
  <si>
    <t>Plague</t>
  </si>
  <si>
    <t>According to the County Surveillance Officers plague has been spreading in the Omicron County since March 2023. Two deaths, whose dates of death go back three weeks ago, and two patients on treatment, as of Saturday have been reported. Other sources have reported two confirmed deaths and eight patients who  presented symptoms of the disease, since the upsurge of cases . According to another source,  another suspected death occurred last week</t>
  </si>
  <si>
    <t>The trend of cases is gradually increasing towards a general period of low transmission</t>
  </si>
  <si>
    <t>Rotavirus</t>
  </si>
  <si>
    <t>A media article reported that Lambda County Governor issued an alert to the public on an outbreak of rotavirus that has primarily affected Carina and Grus villages. The article mentions 75 recorded cases in the last two weeks with at least 3 cases confirmed for rotavirus.</t>
  </si>
  <si>
    <t>Carina, Grus</t>
  </si>
  <si>
    <t>https://www.capitalfm.co/news/2023/04/governor-issues-alert-on-rotavirus-outbreak</t>
  </si>
  <si>
    <t>A suspected case of VHF was reported from Gamma County in South State. The case died without receiving treatment from a health facility, however, a safe and dignified burial was conducted by partnering agencies on the ground. Response teams were deployed to conduct an investigation and collect samples.</t>
  </si>
  <si>
    <t>Lab results returned negative for VHFs</t>
  </si>
  <si>
    <t>MVD</t>
  </si>
  <si>
    <t>A suspected case of MVD was reported from Delta County in Northeast State from the intertnational border. The case’s samples were sent to an external international laboratory for testing.</t>
  </si>
  <si>
    <t>Initial laboratory tests detected malaria. No further cases were reported.</t>
  </si>
  <si>
    <t>Many students from Sigma County in East State were said to have been observed for symptoms of coughing and others experienced diarrhea. Samples were taken from the students for analysis at the state laboratory. According to outbreak investigators, 101 students have been affected in two weeks.</t>
  </si>
  <si>
    <t>Sentinel surveillance coordinator acknowledged the trend but stated it is not an outbreak situation.</t>
  </si>
  <si>
    <t>Ebola Virus Disease</t>
  </si>
  <si>
    <t>A 48-year-old male exhibited Ebola-like symptoms before collapsing and dying outside of a market in Andromeda City. His symptoms included bloody eyes, mouth, nose, and ears. The case was left untouched for fear of spreading a disease.</t>
  </si>
  <si>
    <t>Lab results were negative for VHFs. No further suspected cases were reported.</t>
  </si>
  <si>
    <t>At least 130 people have died after floods and landslides hit Northeast and East States, authorities say. States report that the casualty numbers are expected to increase as floodwaters continue to rise. Major National, State, and partnering organization response has been initiated.</t>
  </si>
  <si>
    <t>Northeast, East</t>
  </si>
  <si>
    <t>Humanitarian workers have recovered at least 72 bodies from East State hit by flooding on Thursday.</t>
  </si>
  <si>
    <t>Pending verification of information from partners who are responding.</t>
  </si>
  <si>
    <t>A 42-year-old man has died after presenting signs of Rift Valley fever in Omicron County in West State, health officials said Tuesday [16 May]. The case is a resident of Sculptor village, Omicron County, died at West State Referral Hospital on Sunday, 14 May 2023.</t>
  </si>
  <si>
    <t>Sporadic cases in this county are not uncommon.</t>
  </si>
  <si>
    <t>Bubonic Plague</t>
  </si>
  <si>
    <t>According to National Surveillance data in 2023, Alpha County recorded a total of 29 cases of a Bubonic plague and 4 deaths, with 3 cases occurring since May 24th, 2023, after a two-month period of absence. Primarily affected villages were Cassiopeia and Pictor.</t>
  </si>
  <si>
    <t>Cassiopeia, Pictor</t>
  </si>
  <si>
    <t>Sudden deaths</t>
  </si>
  <si>
    <t>On June 19, the County Health Officer of Rho received a signal from community health workers reporting a strange disease in Indus village, Rho County. A preliminary investigation revealed two deaths in the same family. The first case involved a 32-year-old man who experienced constipation, vomiting, diarrhea, abdominal pain, urine retention, and an enlarged spleen. He died before reaching the health facility and was buried without a sample being taken. The second case was a 51-year-old woman(the mother of the first case) with a history of fibroids. She was initially treated at Indus Clinic and later referred to Rho County Hospital, where she died from pelvic inflammatory disease. She had symptoms of loss of appetite, vomiting, mild vaginal bleeding, and intestinal obstruction. No samples were taken for suspicion of a viral hemorrhagic fever. The mother was buried alongside her son on June 19. Ongoing epidemiological investigations and enhanced community surveillance are in progress.</t>
  </si>
  <si>
    <t>Indus</t>
  </si>
  <si>
    <t>Subjects seemingly died due to non-infectious causes.</t>
  </si>
  <si>
    <t>The County Surveillance Officer reported at least 18 cases of VHF, including 10 deaths and 5 recoveries were registered in Zeta County, Southwest State last week. Symptoms included vomiting with blood, diarrhea with blood, sore throat, red eyes, and runny nose.</t>
  </si>
  <si>
    <t>A team deployed on the ground to conduct an in-depth investigation to verify the alert and initiate a response. Lab tests are ongoing</t>
  </si>
  <si>
    <t>More than twenty suspected cases have been recorded in the town of Tucana and Corvus, on the international land border, of which at least 11 have been confirmed by the Northeast State Laboratory during the past week.</t>
  </si>
  <si>
    <t>Tucana, Corvus</t>
  </si>
  <si>
    <t xml:space="preserve">Six people recently died in the Gamma County Hospital in South State according to the County Surveillance Officer. Their symptoms are the same: diarrhea, hemorrhagic syndrome, severe fatigue and fever. </t>
  </si>
  <si>
    <t>No positive lab results. Testing is onoing</t>
  </si>
  <si>
    <t>Food poisoning</t>
  </si>
  <si>
    <t>150 students from Dorado Secondary School in Upsilon County experienced stomachaches and diarrhea after having supper together on Wednesday evening. The situation worsened the next day, with some students in critical condition. Authorities suspect food poisoning and have taken food samples for testing at the Upsilon County Laboratory. Investigations are ongoing while the students receive medical treatment</t>
  </si>
  <si>
    <t>Dorado</t>
  </si>
  <si>
    <t>https://www.monitor.com/news/national/150-students-hospitalised-after-suspected-food-poisoning-430384028</t>
  </si>
  <si>
    <t>No linkage to event in West State</t>
  </si>
  <si>
    <t>Waterbone disease</t>
  </si>
  <si>
    <t>At least 148 schoolgirls rushed to hospital in Iota County, West State on Wednesday. Police say they consumed contaminated water leading to severe stomach-aches. Preliminary reports suggest that the students fell ill after ingesting contaminated water</t>
  </si>
  <si>
    <t>No linkage to event in East State</t>
  </si>
  <si>
    <t>Influenza Like Illness</t>
  </si>
  <si>
    <t>On 20 July 2023, a health team of Sigma County reported a cluster of Influenza-like illnesses of an unidentified origin in Ursa village. Between 6 and 25 July 2023, 44 cases and two deaths (CFR 4.5%) were recorded. Testing for SARS-CoV-2 DNA PCR and RDT returned negative results. Detailed investigations are underway, including the transportation of samples to the National Laboratory for further analysis</t>
  </si>
  <si>
    <t xml:space="preserve">As of 24 July 2023 lab results;  8/14 samples tested positive for influenza A H3 (one of the samples was also positive for human rhinovirus/enterovirus), 1/14 tested positive for influenza A (subtype not assigned – presumably due to low viral load), 4/14 – negative (no pathogen detected and  1/14 – test failed – to be repeated. Sentinel surveillance and National Surveillance subject matter experts to be consulted
</t>
  </si>
  <si>
    <t>Uknown disease</t>
  </si>
  <si>
    <t>In the early hours of Wednesday, two relatives who resided in the same house in Andromeda City, Iota County died from unknown condition that presented as diarrhoea and vomiting the eldest of them 48years who was found dead in his room showed tiredness and unconsciousness in addition, the other 43 years was pronounced death upon arrival in the hospital, Another member and the youngest, the first to experience diarrhoea and vomiting is hospitalised and receiving care. The cause is unknown</t>
  </si>
  <si>
    <t>Presumed to be an isolated incident.</t>
  </si>
  <si>
    <t>Uknown paediatric disease</t>
  </si>
  <si>
    <t>An unknown pediatric disease has emerged in Northeast State, affecting children aged 0 to 13. Five deaths and over 10 admissions have been reported. Affected children are isolated for surveillance, and samples are sent for investigation. Schools are closed to prevent further spread. Authorities are working on eradication and protection measures</t>
  </si>
  <si>
    <t>Residences and stores were devastated by a wildfire: Violent fires that struck the North and East states, caused at least 34 deaths since Sunday. "As of this morning at 8:30 AM (07:30 GMT), out of 97 reported fires, only 15 remain," including two in Tau, the most affected county</t>
  </si>
  <si>
    <t>Tau</t>
  </si>
  <si>
    <t>East, North</t>
  </si>
  <si>
    <t>http://www.digitaljournal.com/news/at-least-34-dead-after-fires/article/52132479328</t>
  </si>
  <si>
    <t>Pending final classification based on investigation findings</t>
  </si>
  <si>
    <t xml:space="preserve">Cholera </t>
  </si>
  <si>
    <t>The Northeast State Surveillance Office has reported finding three cases of cholera in Delta County. According to the County Health Officer, the cholera patients and their probable close contacts are currently being managed at Kappa Health Center in Kappa County.</t>
  </si>
  <si>
    <t xml:space="preserve">An early warning signal of a possible febrile disease outbreak was notified in Omega County, Northwest State. </t>
  </si>
  <si>
    <t xml:space="preserve">RRT deployed, waiting investigation report </t>
  </si>
  <si>
    <t xml:space="preserve">Unknown disease </t>
  </si>
  <si>
    <t>State Surveillance Officers received a report of suspected outbreak of a fatal disease in Tucana of Delta County which has claimed 17 lives in a period of three weeks. Of the 17 deaths, 15 were children under 5 and two adults.</t>
  </si>
  <si>
    <t>Very high</t>
  </si>
  <si>
    <t>Post mortem analysis being conducted on a few cases.</t>
  </si>
  <si>
    <t>On October 16, 2023, County Surveillance Officers received a report of a suspected outbreak in Alpha County Elementary School, Northeast State. It affected 27 schoolgirls, aged 7-23, with symptoms including visual hallucinations, mental confusion, leg weakness, epigastric pain, headache, and neck pain. Tragically, one student has passed away, seven are recovering, and three remain under admission. The State RRT team is actively investigating this alarming situation.</t>
  </si>
  <si>
    <t>We have received information through GLEWS+ counterparts that FAO is in the process of verifying rumours concerning anthrax infections reported in Gamma County, possibly linked to the ongoing outbreak in the neighboring country</t>
  </si>
  <si>
    <t xml:space="preserve">No outbreak confirmed </t>
  </si>
  <si>
    <t>Diarrhoeal illness</t>
  </si>
  <si>
    <t xml:space="preserve">A cruise ship arrived in Andromeda City port carrying travelers that were presenting with diarrhoea and vomiting. The vessel came from South Island and had to make an emergency stop since more than 1,000 travelers were experiencing symptoms. </t>
  </si>
  <si>
    <t xml:space="preserve">Iota </t>
  </si>
  <si>
    <t>National Port Authority</t>
  </si>
  <si>
    <t>Verification not sent as port authorities sent report</t>
  </si>
  <si>
    <t>North State Laboratory has confirmed highly pathogenic avian influenza in dairy cattle herds in Chi, Lambda, and Rho Counties, and in unpasteurized milk in Lambda and Rho. The cattle are displaying decreased lactation, low appetite, and other signs.  The viruses are from clade 2.3.4.4b, which is the most common highly pathogenic avian influenza A(H5N1) virus circulating among birds worldwide at this time.  </t>
  </si>
  <si>
    <t>Chi, Lambda, Rho</t>
  </si>
  <si>
    <t>Data Inputs</t>
  </si>
  <si>
    <t>Raw CFR%</t>
  </si>
  <si>
    <t>EW</t>
  </si>
  <si>
    <t>Earliest verification date</t>
  </si>
  <si>
    <t>Time to conduct risk assessment (days)</t>
  </si>
  <si>
    <t>Time to assess risk (days)</t>
  </si>
  <si>
    <t>Time to response (days)</t>
  </si>
  <si>
    <t>Date of onset</t>
  </si>
  <si>
    <t>Time to detection (days)</t>
  </si>
  <si>
    <t>Date of lab diagnosis</t>
  </si>
  <si>
    <t>Date event closed</t>
  </si>
  <si>
    <t>Number</t>
  </si>
  <si>
    <t>Text</t>
  </si>
  <si>
    <t xml:space="preserve">Animal </t>
  </si>
  <si>
    <t>Percentage</t>
  </si>
  <si>
    <t>Date</t>
  </si>
  <si>
    <t>Digitial Journal</t>
  </si>
  <si>
    <t>Abigail</t>
  </si>
  <si>
    <t>Apus</t>
  </si>
  <si>
    <t xml:space="preserve">EIOS </t>
  </si>
  <si>
    <t>Ara</t>
  </si>
  <si>
    <t>Very High</t>
  </si>
  <si>
    <t>Bimba</t>
  </si>
  <si>
    <t>Epsilon</t>
  </si>
  <si>
    <t>Canis</t>
  </si>
  <si>
    <t>National Ministry of Wildfie</t>
  </si>
  <si>
    <t>Carina</t>
  </si>
  <si>
    <t>Cassiopeia</t>
  </si>
  <si>
    <t>Columba</t>
  </si>
  <si>
    <t>Nu</t>
  </si>
  <si>
    <t>Grus</t>
  </si>
  <si>
    <t>Lacerta</t>
  </si>
  <si>
    <t>Lynx</t>
  </si>
  <si>
    <t>Suspected anthrax cases recorded among animals and humans in Sculptor village, West State. Samples sent to the State labortories on 26 November 2023.</t>
  </si>
  <si>
    <t>Landslides began in Northeast State on 2 May 2023 has led to 60 deaths and caused the destruction of key infrastructure such as roads and bridges.</t>
  </si>
  <si>
    <t>https://www.aljazeera.com/news/2023/11/death-toll-landslides-surges-60-191124185341844.html</t>
  </si>
  <si>
    <t>The Theta County Surveillance Officer has reported patients presenting with suspicious clinical symptoms for RVF including one veterinary officer. The veterinary officer from Ara village died last Monday, 11 June 2023. According to his wife, before dying the veterinary officer was vomiting, had blood coming out of his mouth and nose, defecating blood and presented a very high fever. At Theta County Hospital, they said that he died before they were able to establish the diagnosis, but the people who know him well claim that he must have been killed by RVF virus. In Columba village, there are rumors that 2 additional people died from eating meat collected from animals that died of RVF.</t>
  </si>
  <si>
    <t>https://www.thisdaylive.com/index.php/2023/11/03/strange-disease-kills-115-1000-hospitalised/</t>
  </si>
  <si>
    <t>According to State Surveillance Officiers, there has been an increasing number of malaria cases in Northeast State since October 2023, however, the figures have not reached the epidemic threshold.</t>
  </si>
  <si>
    <t>From 4 January-13 February, 2023, Northwest State has reported 11 cases of Nipah virus infection (10 confirmed, one probable), with 8 deaths. The cases have been reported across two counties. Six cases were reported from Omega County including four deaths. Epsilon County reported the remaining five cases, including four deaths. A multisectoral response has been implemented by State and National Surveillance Offices and partners.</t>
  </si>
  <si>
    <t>A media article reported a cholera outbreak in the central prison of Adromeda City in West State. According to the article, 4 prisoners reportedly died from cholera between 11-13 February 2023. So far, 20 cases of cholera have been identified. The first results of seven tests carried out at the West State Hospital tested positive for the cholera.</t>
  </si>
  <si>
    <t>https://andromedanews.net/2023/02/20/cholera-declaration-prison</t>
  </si>
  <si>
    <t>Wildfires in East State have began to occurr affecting at least 20 people have died so far since May 2023 with more than 60 000 hectares of forest so far burned as reported by the Ministry of Agriculture.</t>
  </si>
  <si>
    <t>The number of victims of wildfires in East State has risen to 26, from eight deaths reported earlier, with several dozens of people injured and others displaced in various provinces. The fires have been burning across large swaths of the state, with 39 fires active in 3 counties at present. Since the beginning of August, 106 fires have broken out, destroying 800 hectares of forest and 1800 hectares of brush. Each year, East State is affected by forest fires, but this phenomenon has become exacerbated by climate change and a greater frequency of heat waves and droughts. The summer of 2023 was particularly deadly, with at least 90 deaths caused by the fires, where more than 100 000 hectares of forest have been burned.</t>
  </si>
  <si>
    <t>According to Northwest State Surveillance Officers during epidemiological week 5, 2023 (30 January – 5 February), 106 new confirmed Lassa fever cases were reported from 4 counties. Thus far in 2023, from EW 1 to EW 5 (ending 5 February), a total of 464 confirmed cases with 69 deaths have been reported from 73 villages in 4 counties. The cumulative case-fatality proportion (CFP) is 14.9%. Eleven new healthcare worker infections occurred in EW 5 for a total of 17 affected since January 2023. State response teams have been activated to the affected counties.</t>
  </si>
  <si>
    <t>Animal Health Workers notified about CCHF cases reported in animals and one human case in Omicron County (This might be the first human case reported in Omicron County). According to the notification:On Friday, July 22, 2023, a dried blood sample for suspected hemorrhagic fever in a patient (32 years old) resulted positive.</t>
  </si>
  <si>
    <t>Omicron County Hospital reported admission of 84 people after birthday party attendants fell unconcious on Tuesday (26 July 2023). Birthday party attendants reportedly ate a rice dish, cake, and juice. They are all currently admitted at Omicron County Hospital.</t>
  </si>
  <si>
    <t>A 15-year-old male reported to Andromeda Hospital in Iota County of West State on 29 July 2023 presenting with signs and symptoms of myalgia, rashes filled with blisters, fever, headache, and general body weakness. Onset of symptoms was reported as of 23 July 2023 with no travel history or known contact with a suspected monkeypox case. A sample was collected and a response team was activated.</t>
  </si>
  <si>
    <t>Three YF suspected cases were admitted to Northeast State Referral Hospital on 17 Sep 2023. One of the three cases has serious symptoms.One of the samples from Delphinus village is YF IgM+.Two of them were NEGATIVE for YF and other VHFs. The National Lab is planning to ship two samples (one IgM+ and one negative) for reference testing at an international lab.</t>
  </si>
  <si>
    <t>On September 9, 2023, a suspected of cluster Chikungunya Fever cases with symptoms of Headache, Fever, Joint pain, muscle pain, and Gingivitis reported from three villages in Rho County of North State.So far, a total of 54 cases without deaths have been reported from the County. A total of 39 cases have been recovered and currently there are 14 active cases.</t>
  </si>
  <si>
    <t>A communication from the Sigma County Surveillance Officer has been received today 14 October 2023 on an unusual event that has resulted in the loss of two lives in Ursa village. The distinct signs and symptoms for the three cases reported so far are: eye swelling and occipital headache. Two out of the three cases have already died 6 to 7 days following onset of symptoms</t>
  </si>
  <si>
    <t>Sigma County Surveillance Officer shared a signal on suspected monkeypox case at Mercy refugee camp in East State. A total of 12 suspected cases were identified and documented in the refugee camp. The distribution of cases by age group is as follows:&lt;5 years 3 cases, 5-15 years 2 cases, 15-20 years 1 case and &gt;20 years 6 suspected cases. No deaths were reported. On 19 October 2023, five samples of the 12 suspected cases were collected by the laboratory team at East State Hospital and the samples were sent to the National Laboratory for confirmation.</t>
  </si>
  <si>
    <t>Beta County Surveillance Officers have reported on 19 October 2023 an alert for a cluster of suspected dengue cases in Delphinus village. High grade fever and nose bleeding symptoms were reported. Delphinus borders Cygnus County of the neighboring country where there is an ongoing suspected dengue fever outbreak.</t>
  </si>
  <si>
    <t>On 26 October 2023, the State epidemiologist of Northeast reported a confirmed human case of yellow fever which was investigated between 7 and 13 October 2023. The case was confirmed by reverse transcriptase polymerase chain reaction (RT-PCR) at the National Reference Laboratory.</t>
  </si>
  <si>
    <t xml:space="preserve">57 people lost their lives in Beta County, after the rain on Tuesday, December 13, 2023. Thirty-eight died in Delphinus, 9 in Lacerta, 1 in Bimba, and 9 in Canis. </t>
  </si>
  <si>
    <t>A Gamma County Surveillance Officer in South State reported a cluster of four deaths between 23 November-19 December 2023. All deceased were male aged 10-37 years. A team was deployed to investigate contacts and conduct further environmental and disease testing. No definitive causal agent has been established and further investigations are being planned.</t>
  </si>
  <si>
    <t>Over 70 confirmed cases of measles in children have been reported in North State accoring to the National Surveillance system. So far, the cases have been detected in four counties. General vaccine supply to the state has been erratic since the middle of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</si>
</sst>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yyyy&quot;-&quot;mm&quot;-&quot;dd"/>
    <numFmt numFmtId="166" formatCode="0.0%"/>
  </numFmts>
  <fonts count="8" x14ac:knownFonts="1">
    <font>
      <sz val="11"/>
      <color theme="1"/>
      <name val="Aptos Narrow"/>
      <family val="2"/>
      <scheme val="minor"/>
    </font>
    <font>
      <b/>
      <sz val="11"/>
      <color theme="1"/>
      <name val="Aptos Narrow"/>
      <family val="2"/>
      <scheme val="minor"/>
    </font>
    <font>
      <sz val="11"/>
      <name val="Calibri"/>
      <family val="2"/>
    </font>
    <font>
      <u/>
      <sz val="11"/>
      <name val="Calibri"/>
      <family val="2"/>
    </font>
    <font>
      <i/>
      <u/>
      <sz val="11"/>
      <name val="Calibri"/>
      <family val="2"/>
    </font>
    <font>
      <b/>
      <sz val="10"/>
      <name val="Calibri"/>
      <family val="2"/>
    </font>
    <font>
      <sz val="11"/>
      <color theme="1"/>
      <name val="Aptos Narrow"/>
      <family val="2"/>
      <scheme val="minor"/>
    </font>
    <font>
      <b/>
      <sz val="9"/>
      <color indexed="81"/>
      <name val="Tahoma"/>
      <charset val="1"/>
    </font>
  </fonts>
  <fills count="5">
    <fill>
      <patternFill patternType="none"/>
    </fill>
    <fill>
      <patternFill patternType="gray125"/>
    </fill>
    <fill>
      <patternFill patternType="solid">
        <fgColor rgb="FFC5D9F1"/>
        <bgColor rgb="FFC5D9F1"/>
      </patternFill>
    </fill>
    <fill>
      <patternFill patternType="solid">
        <fgColor rgb="FFFFFFFF"/>
        <bgColor rgb="FFFFFFFF"/>
      </patternFill>
    </fill>
    <fill>
      <patternFill patternType="solid">
        <fgColor theme="3" tint="0.89999084444715716"/>
        <bgColor indexed="64"/>
      </patternFill>
    </fill>
  </fills>
  <borders count="2">
    <border>
      <left/>
      <right/>
      <top/>
      <bottom/>
      <diagonal/>
    </border>
    <border>
      <left/>
      <right/>
      <top/>
      <bottom style="thin">
        <color theme="0" tint="-4.9989318521683403E-2"/>
      </bottom>
      <diagonal/>
    </border>
  </borders>
  <cellStyleXfs count="2">
    <xf numFmtId="0" fontId="0" fillId="0" borderId="0"/>
    <xf numFmtId="9" fontId="6" fillId="0" borderId="0" applyFont="0" applyFill="0" applyBorder="0" applyAlignment="0" applyProtection="0"/>
  </cellStyleXfs>
  <cellXfs count="25">
    <xf numFmtId="0" fontId="0" fillId="0" borderId="0" xfId="0"/>
    <xf numFmtId="0" fontId="2" fillId="0" borderId="0" xfId="0" applyFont="1"/>
    <xf numFmtId="0" fontId="2" fillId="0" borderId="0" xfId="0" applyFont="1" applyAlignment="1">
      <alignment horizontal="left"/>
    </xf>
    <xf numFmtId="14" fontId="0" fillId="0" borderId="0" xfId="0" applyNumberFormat="1"/>
    <xf numFmtId="1" fontId="2" fillId="0" borderId="0" xfId="0" applyNumberFormat="1" applyFont="1"/>
    <xf numFmtId="164" fontId="2" fillId="0" borderId="0" xfId="0" applyNumberFormat="1" applyFont="1"/>
    <xf numFmtId="165" fontId="2" fillId="0" borderId="0" xfId="0" applyNumberFormat="1" applyFont="1"/>
    <xf numFmtId="0" fontId="3" fillId="0" borderId="0" xfId="0" applyFont="1"/>
    <xf numFmtId="0" fontId="4" fillId="0" borderId="0" xfId="0" applyFont="1"/>
    <xf numFmtId="0" fontId="2" fillId="3" borderId="0" xfId="0" applyFont="1" applyFill="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horizontal="left" vertical="top" wrapText="1"/>
    </xf>
    <xf numFmtId="164" fontId="2" fillId="0" borderId="0" xfId="0" applyNumberFormat="1" applyFont="1" applyAlignment="1">
      <alignment wrapText="1"/>
    </xf>
    <xf numFmtId="0" fontId="1" fillId="4" borderId="0" xfId="0" applyFont="1" applyFill="1"/>
    <xf numFmtId="0" fontId="5" fillId="2" borderId="1" xfId="0" applyFont="1" applyFill="1" applyBorder="1" applyAlignment="1">
      <alignment wrapText="1"/>
    </xf>
    <xf numFmtId="0" fontId="5" fillId="2" borderId="1" xfId="0" applyFont="1" applyFill="1" applyBorder="1"/>
    <xf numFmtId="164" fontId="5" fillId="2" borderId="1" xfId="0" applyNumberFormat="1" applyFont="1" applyFill="1" applyBorder="1" applyAlignment="1">
      <alignment wrapText="1"/>
    </xf>
    <xf numFmtId="165" fontId="5" fillId="2" borderId="1" xfId="0" applyNumberFormat="1" applyFont="1" applyFill="1" applyBorder="1" applyAlignment="1">
      <alignment wrapText="1"/>
    </xf>
    <xf numFmtId="165" fontId="5" fillId="2" borderId="1" xfId="0" applyNumberFormat="1" applyFont="1" applyFill="1" applyBorder="1" applyAlignment="1">
      <alignment horizontal="left" wrapText="1"/>
    </xf>
    <xf numFmtId="0" fontId="5" fillId="0" borderId="0" xfId="0" applyFont="1"/>
    <xf numFmtId="166" fontId="0" fillId="0" borderId="0" xfId="1" applyNumberFormat="1" applyFont="1"/>
    <xf numFmtId="166" fontId="0" fillId="0" borderId="0" xfId="1" applyNumberFormat="1" applyFont="1" applyFill="1"/>
    <xf numFmtId="164" fontId="2" fillId="0" borderId="0" xfId="0" applyNumberFormat="1" applyFont="1" applyAlignment="1">
      <alignment horizontal="right"/>
    </xf>
    <xf numFmtId="165" fontId="0" fillId="0" borderId="0" xfId="0" applyNumberFormat="1"/>
  </cellXfs>
  <cellStyles count="2">
    <cellStyle name="Normal" xfId="0" builtinId="0"/>
    <cellStyle name="Percent" xfId="1" builtinId="5"/>
  </cellStyles>
  <dxfs count="0"/>
  <tableStyles count="0" defaultTableStyle="TableStyleMedium2" defaultPivotStyle="PivotStyleLight16"/>
  <colors>
    <mruColors>
      <color rgb="FFFFFFCC"/>
      <color rgb="FFCC9900"/>
      <color rgb="FF99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E07C-ADCE-4DDE-AF0D-46E67AB63195}">
  <dimension ref="A1:AL338"/>
  <sheetViews>
    <sheetView tabSelected="1" zoomScale="120" zoomScaleNormal="120" workbookViewId="0">
      <selection activeCell="AC5" sqref="AC5"/>
    </sheetView>
  </sheetViews>
  <sheetFormatPr defaultColWidth="8.7109375" defaultRowHeight="15" x14ac:dyDescent="0.25"/>
  <cols>
    <col min="1" max="1" width="8.7109375" style="1"/>
    <col min="2" max="3" width="17.28515625" style="1" customWidth="1"/>
    <col min="4" max="4" width="48.7109375" style="1" customWidth="1"/>
    <col min="5" max="5" width="18.140625" style="10" customWidth="1"/>
    <col min="6" max="6" width="7.85546875" style="10" customWidth="1"/>
    <col min="7" max="7" width="11.140625" style="10" customWidth="1"/>
    <col min="8" max="8" width="9.7109375" style="1" customWidth="1"/>
    <col min="9" max="10" width="10.42578125" style="1" customWidth="1"/>
    <col min="11" max="11" width="14.85546875" style="1" customWidth="1"/>
    <col min="12" max="12" width="10.85546875" style="1" customWidth="1"/>
    <col min="13" max="14" width="13.7109375" style="1" customWidth="1"/>
    <col min="15" max="16" width="21" style="1" customWidth="1"/>
    <col min="17" max="19" width="13.42578125" style="1" customWidth="1"/>
    <col min="20" max="20" width="20.42578125" style="1" customWidth="1"/>
    <col min="21" max="22" width="19.42578125" style="1" customWidth="1"/>
    <col min="23" max="23" width="13.7109375" style="1" customWidth="1"/>
    <col min="24" max="24" width="22.28515625" style="1" customWidth="1"/>
    <col min="25" max="25" width="16.42578125" style="1" customWidth="1"/>
    <col min="26" max="36" width="17.42578125" style="1" customWidth="1"/>
    <col min="37" max="37" width="13.140625" style="1"/>
    <col min="38" max="38" width="27.85546875" style="1" customWidth="1"/>
    <col min="39" max="16384" width="8.7109375" style="1"/>
  </cols>
  <sheetData>
    <row r="1" spans="1:38" s="20" customFormat="1" ht="46.5" customHeight="1" x14ac:dyDescent="0.2">
      <c r="A1" s="15" t="s">
        <v>0</v>
      </c>
      <c r="B1" s="15" t="s">
        <v>1</v>
      </c>
      <c r="C1" s="15" t="s">
        <v>2</v>
      </c>
      <c r="D1" s="16" t="s">
        <v>3</v>
      </c>
      <c r="E1" s="15" t="s">
        <v>4</v>
      </c>
      <c r="F1" s="15" t="s">
        <v>5</v>
      </c>
      <c r="G1" s="15" t="s">
        <v>6</v>
      </c>
      <c r="H1" s="15" t="s">
        <v>7</v>
      </c>
      <c r="I1" s="17" t="s">
        <v>8</v>
      </c>
      <c r="J1" s="17" t="s">
        <v>9</v>
      </c>
      <c r="K1" s="18" t="s">
        <v>10</v>
      </c>
      <c r="L1" s="18" t="s">
        <v>11</v>
      </c>
      <c r="M1" s="15" t="s">
        <v>12</v>
      </c>
      <c r="N1" s="15" t="s">
        <v>13</v>
      </c>
      <c r="O1" s="15" t="s">
        <v>14</v>
      </c>
      <c r="P1" s="18" t="s">
        <v>15</v>
      </c>
      <c r="Q1" s="15" t="s">
        <v>16</v>
      </c>
      <c r="R1" s="19" t="s">
        <v>17</v>
      </c>
      <c r="S1" s="19" t="s">
        <v>18</v>
      </c>
      <c r="T1" s="18" t="s">
        <v>19</v>
      </c>
      <c r="U1" s="18" t="s">
        <v>20</v>
      </c>
      <c r="V1" s="18" t="s">
        <v>21</v>
      </c>
      <c r="W1" s="18"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6" t="s">
        <v>37</v>
      </c>
    </row>
    <row r="2" spans="1:38" ht="32.1" customHeight="1" x14ac:dyDescent="0.25">
      <c r="A2" s="4">
        <v>17</v>
      </c>
      <c r="B2" s="1" t="s">
        <v>137</v>
      </c>
      <c r="C2" s="1" t="s">
        <v>39</v>
      </c>
      <c r="D2" s="11" t="s">
        <v>362</v>
      </c>
      <c r="G2" s="10" t="s">
        <v>43</v>
      </c>
      <c r="H2" s="5"/>
      <c r="I2" s="5"/>
      <c r="J2" s="22"/>
      <c r="K2" s="6">
        <v>44933</v>
      </c>
      <c r="L2">
        <v>2</v>
      </c>
      <c r="M2" s="1" t="s">
        <v>110</v>
      </c>
      <c r="O2"/>
      <c r="P2" s="6"/>
      <c r="Q2" s="1" t="s">
        <v>47</v>
      </c>
      <c r="R2" s="6"/>
      <c r="S2" s="6"/>
      <c r="T2" s="6">
        <v>44933</v>
      </c>
      <c r="U2" s="6">
        <v>44933</v>
      </c>
      <c r="V2" s="24">
        <f>MIN(R2:U2)</f>
        <v>44933</v>
      </c>
      <c r="W2">
        <f>V2-K2</f>
        <v>0</v>
      </c>
      <c r="X2" s="1" t="s">
        <v>48</v>
      </c>
      <c r="Y2" s="6">
        <v>44934</v>
      </c>
      <c r="AA2" s="6"/>
      <c r="AB2"/>
      <c r="AC2"/>
      <c r="AD2" s="6">
        <v>44933</v>
      </c>
      <c r="AE2" s="6"/>
      <c r="AF2" s="4"/>
      <c r="AG2" s="6" t="s">
        <v>126</v>
      </c>
      <c r="AH2"/>
      <c r="AI2" s="6" t="s">
        <v>126</v>
      </c>
      <c r="AJ2" s="6">
        <v>44934</v>
      </c>
      <c r="AK2" s="1" t="s">
        <v>100</v>
      </c>
      <c r="AL2" s="1" t="s">
        <v>138</v>
      </c>
    </row>
    <row r="3" spans="1:38" ht="32.1" customHeight="1" x14ac:dyDescent="0.25">
      <c r="A3" s="4">
        <v>43</v>
      </c>
      <c r="B3" s="1" t="s">
        <v>108</v>
      </c>
      <c r="C3" s="1" t="s">
        <v>39</v>
      </c>
      <c r="D3" s="11" t="s">
        <v>202</v>
      </c>
      <c r="E3" s="10" t="s">
        <v>122</v>
      </c>
      <c r="F3" s="10" t="s">
        <v>123</v>
      </c>
      <c r="G3" s="10" t="s">
        <v>80</v>
      </c>
      <c r="H3" s="1">
        <v>1</v>
      </c>
      <c r="J3" s="21"/>
      <c r="K3" s="6">
        <v>44936</v>
      </c>
      <c r="L3">
        <v>2</v>
      </c>
      <c r="M3" s="1" t="s">
        <v>93</v>
      </c>
      <c r="O3"/>
      <c r="P3" s="6"/>
      <c r="Q3" s="1" t="s">
        <v>62</v>
      </c>
      <c r="R3" s="6"/>
      <c r="S3" s="6"/>
      <c r="T3" s="6"/>
      <c r="U3" s="6"/>
      <c r="V3" s="24"/>
      <c r="W3"/>
      <c r="X3" s="1" t="s">
        <v>63</v>
      </c>
      <c r="Y3" s="6">
        <v>44941</v>
      </c>
      <c r="Z3" s="1" t="s">
        <v>94</v>
      </c>
      <c r="AA3" s="6">
        <v>44941</v>
      </c>
      <c r="AB3">
        <f>AA3-Y3</f>
        <v>0</v>
      </c>
      <c r="AC3">
        <f>AA3-K3</f>
        <v>5</v>
      </c>
      <c r="AD3" s="6">
        <v>44934</v>
      </c>
      <c r="AE3" s="6">
        <v>44934</v>
      </c>
      <c r="AF3" s="4"/>
      <c r="AG3" s="6">
        <v>44931</v>
      </c>
      <c r="AH3">
        <f>K3-AG3</f>
        <v>5</v>
      </c>
      <c r="AI3" s="6">
        <v>44934</v>
      </c>
      <c r="AJ3" s="6"/>
      <c r="AK3" s="1" t="s">
        <v>142</v>
      </c>
      <c r="AL3" s="1" t="s">
        <v>203</v>
      </c>
    </row>
    <row r="4" spans="1:38" ht="32.1" customHeight="1" x14ac:dyDescent="0.25">
      <c r="A4" s="4">
        <v>44</v>
      </c>
      <c r="B4" s="1" t="s">
        <v>204</v>
      </c>
      <c r="C4" s="1" t="s">
        <v>39</v>
      </c>
      <c r="D4" s="11" t="s">
        <v>205</v>
      </c>
      <c r="E4" s="10" t="s">
        <v>206</v>
      </c>
      <c r="F4" s="10" t="s">
        <v>42</v>
      </c>
      <c r="G4" s="10" t="s">
        <v>43</v>
      </c>
      <c r="H4" s="5">
        <v>78</v>
      </c>
      <c r="I4" s="5">
        <v>18</v>
      </c>
      <c r="J4" s="21">
        <f>(I4/H4)</f>
        <v>0.23076923076923078</v>
      </c>
      <c r="K4" s="6">
        <v>44945</v>
      </c>
      <c r="L4">
        <v>3</v>
      </c>
      <c r="M4" s="1" t="s">
        <v>61</v>
      </c>
      <c r="O4"/>
      <c r="P4" s="6"/>
      <c r="Q4" s="1" t="s">
        <v>47</v>
      </c>
      <c r="R4" s="6">
        <v>44946</v>
      </c>
      <c r="S4" s="6"/>
      <c r="T4" s="6"/>
      <c r="U4" s="6"/>
      <c r="V4" s="24">
        <f>MIN(R4:U4)</f>
        <v>44946</v>
      </c>
      <c r="W4">
        <f>V4-K4</f>
        <v>1</v>
      </c>
      <c r="X4" s="1" t="s">
        <v>73</v>
      </c>
      <c r="Y4" s="6">
        <v>44948</v>
      </c>
      <c r="Z4" s="1" t="s">
        <v>94</v>
      </c>
      <c r="AA4" s="6">
        <v>44948</v>
      </c>
      <c r="AB4">
        <f>AA4-Y4</f>
        <v>0</v>
      </c>
      <c r="AC4">
        <f>AA4-K4</f>
        <v>3</v>
      </c>
      <c r="AD4" s="6">
        <v>44946</v>
      </c>
      <c r="AE4" s="6">
        <v>44946</v>
      </c>
      <c r="AF4" s="4">
        <f t="shared" ref="AF4:AF10" si="0">AE4-V4</f>
        <v>0</v>
      </c>
      <c r="AG4" s="6">
        <v>44934</v>
      </c>
      <c r="AH4">
        <f>K4-AG4</f>
        <v>11</v>
      </c>
      <c r="AI4" s="6">
        <v>44947</v>
      </c>
      <c r="AJ4" s="6">
        <v>44990</v>
      </c>
      <c r="AK4" s="1" t="s">
        <v>170</v>
      </c>
    </row>
    <row r="5" spans="1:38" ht="32.1" customHeight="1" x14ac:dyDescent="0.25">
      <c r="A5" s="4">
        <v>45</v>
      </c>
      <c r="B5" s="1" t="s">
        <v>114</v>
      </c>
      <c r="C5" s="1" t="s">
        <v>39</v>
      </c>
      <c r="D5" s="11" t="s">
        <v>207</v>
      </c>
      <c r="F5" s="10" t="s">
        <v>208</v>
      </c>
      <c r="G5" s="10" t="s">
        <v>117</v>
      </c>
      <c r="H5" s="5">
        <v>1</v>
      </c>
      <c r="I5" s="5">
        <v>1</v>
      </c>
      <c r="J5" s="21">
        <f>(I5/H5)</f>
        <v>1</v>
      </c>
      <c r="K5" s="6">
        <v>44962</v>
      </c>
      <c r="L5">
        <v>6</v>
      </c>
      <c r="M5" s="1" t="s">
        <v>209</v>
      </c>
      <c r="O5"/>
      <c r="P5" s="6"/>
      <c r="Q5" s="1" t="s">
        <v>62</v>
      </c>
      <c r="R5" s="6"/>
      <c r="S5" s="6"/>
      <c r="T5" s="6"/>
      <c r="U5" s="6"/>
      <c r="V5" s="24"/>
      <c r="W5"/>
      <c r="X5" s="1" t="s">
        <v>48</v>
      </c>
      <c r="Y5" s="6">
        <v>44962</v>
      </c>
      <c r="Z5" s="3"/>
      <c r="AA5" s="6"/>
      <c r="AB5"/>
      <c r="AC5"/>
      <c r="AD5" s="6">
        <v>44964</v>
      </c>
      <c r="AE5" s="6"/>
      <c r="AF5" s="4">
        <f t="shared" si="0"/>
        <v>0</v>
      </c>
      <c r="AG5" s="6" t="s">
        <v>118</v>
      </c>
      <c r="AH5"/>
      <c r="AI5" s="6">
        <v>44964</v>
      </c>
      <c r="AJ5" s="6">
        <v>44972</v>
      </c>
      <c r="AK5" s="1" t="s">
        <v>55</v>
      </c>
      <c r="AL5" s="1" t="s">
        <v>210</v>
      </c>
    </row>
    <row r="6" spans="1:38" ht="32.1" customHeight="1" x14ac:dyDescent="0.25">
      <c r="A6" s="4">
        <v>46</v>
      </c>
      <c r="B6" s="1" t="s">
        <v>211</v>
      </c>
      <c r="C6" s="1" t="s">
        <v>39</v>
      </c>
      <c r="D6" s="11" t="s">
        <v>212</v>
      </c>
      <c r="E6" s="10" t="s">
        <v>213</v>
      </c>
      <c r="F6" s="10" t="s">
        <v>199</v>
      </c>
      <c r="G6" s="10" t="s">
        <v>200</v>
      </c>
      <c r="H6" s="5">
        <v>14</v>
      </c>
      <c r="I6" s="5">
        <v>5</v>
      </c>
      <c r="J6" s="21">
        <f>(I6/H6)</f>
        <v>0.35714285714285715</v>
      </c>
      <c r="K6" s="6">
        <v>44964</v>
      </c>
      <c r="L6">
        <v>6</v>
      </c>
      <c r="M6" s="1" t="s">
        <v>110</v>
      </c>
      <c r="O6"/>
      <c r="P6" s="6"/>
      <c r="Q6" s="1" t="s">
        <v>47</v>
      </c>
      <c r="R6" s="6">
        <v>44964</v>
      </c>
      <c r="S6" s="6">
        <v>44964</v>
      </c>
      <c r="T6" s="6"/>
      <c r="U6" s="6"/>
      <c r="V6" s="24">
        <f t="shared" ref="V6:V16" si="1">MIN(R6:U6)</f>
        <v>44964</v>
      </c>
      <c r="W6">
        <f t="shared" ref="W6:W16" si="2">V6-K6</f>
        <v>0</v>
      </c>
      <c r="X6" s="1" t="s">
        <v>73</v>
      </c>
      <c r="Y6" s="6">
        <v>44966</v>
      </c>
      <c r="Z6" s="1" t="s">
        <v>64</v>
      </c>
      <c r="AA6" s="6">
        <v>44966</v>
      </c>
      <c r="AB6">
        <f>AA6-Y6</f>
        <v>0</v>
      </c>
      <c r="AC6">
        <f>AA6-K6</f>
        <v>2</v>
      </c>
      <c r="AD6" s="6">
        <v>44958</v>
      </c>
      <c r="AE6" s="6">
        <v>44958</v>
      </c>
      <c r="AF6" s="4">
        <f t="shared" si="0"/>
        <v>-6</v>
      </c>
      <c r="AG6" s="6">
        <v>44951</v>
      </c>
      <c r="AH6">
        <f>K6-AG6</f>
        <v>13</v>
      </c>
      <c r="AI6" s="6" t="s">
        <v>65</v>
      </c>
      <c r="AJ6" s="6">
        <v>45028</v>
      </c>
      <c r="AK6" s="1" t="s">
        <v>142</v>
      </c>
    </row>
    <row r="7" spans="1:38" ht="32.1" customHeight="1" x14ac:dyDescent="0.25">
      <c r="A7" s="4">
        <v>47</v>
      </c>
      <c r="B7" s="1" t="s">
        <v>120</v>
      </c>
      <c r="C7" s="1" t="s">
        <v>39</v>
      </c>
      <c r="D7" s="11" t="s">
        <v>380</v>
      </c>
      <c r="G7" s="10" t="s">
        <v>88</v>
      </c>
      <c r="H7" s="5">
        <v>70</v>
      </c>
      <c r="I7" s="5"/>
      <c r="J7" s="21"/>
      <c r="K7" s="6">
        <v>44964</v>
      </c>
      <c r="L7">
        <v>6</v>
      </c>
      <c r="M7" s="1" t="s">
        <v>148</v>
      </c>
      <c r="O7"/>
      <c r="P7" s="6"/>
      <c r="Q7" s="1" t="s">
        <v>47</v>
      </c>
      <c r="R7" s="6"/>
      <c r="S7" s="6">
        <v>44964</v>
      </c>
      <c r="T7" s="6"/>
      <c r="U7" s="6"/>
      <c r="V7" s="24">
        <f t="shared" si="1"/>
        <v>44964</v>
      </c>
      <c r="W7">
        <f t="shared" si="2"/>
        <v>0</v>
      </c>
      <c r="X7" s="1" t="s">
        <v>73</v>
      </c>
      <c r="Y7" s="6">
        <v>44965</v>
      </c>
      <c r="Z7" s="1" t="s">
        <v>64</v>
      </c>
      <c r="AA7" s="6">
        <v>44965</v>
      </c>
      <c r="AB7">
        <f>AA7-Y7</f>
        <v>0</v>
      </c>
      <c r="AC7">
        <f>AA7-K7</f>
        <v>1</v>
      </c>
      <c r="AD7" s="6">
        <v>44967</v>
      </c>
      <c r="AE7" s="6">
        <v>44977</v>
      </c>
      <c r="AF7" s="4">
        <f t="shared" si="0"/>
        <v>13</v>
      </c>
      <c r="AG7" s="6">
        <v>44956</v>
      </c>
      <c r="AH7">
        <f>K7-AG7</f>
        <v>8</v>
      </c>
      <c r="AI7" s="6">
        <v>44967</v>
      </c>
      <c r="AJ7" s="6">
        <v>45053</v>
      </c>
      <c r="AK7" s="1" t="s">
        <v>142</v>
      </c>
    </row>
    <row r="8" spans="1:38" ht="32.1" customHeight="1" x14ac:dyDescent="0.25">
      <c r="A8" s="4">
        <v>28</v>
      </c>
      <c r="B8" s="1" t="s">
        <v>167</v>
      </c>
      <c r="C8" s="1" t="s">
        <v>39</v>
      </c>
      <c r="D8" s="11" t="s">
        <v>368</v>
      </c>
      <c r="G8" s="10" t="s">
        <v>117</v>
      </c>
      <c r="H8" s="5">
        <v>464</v>
      </c>
      <c r="I8" s="5">
        <v>69</v>
      </c>
      <c r="J8" s="21">
        <f>(I8/H8)</f>
        <v>0.14870689655172414</v>
      </c>
      <c r="K8" s="6">
        <v>44965</v>
      </c>
      <c r="L8">
        <v>6</v>
      </c>
      <c r="M8" s="1" t="s">
        <v>110</v>
      </c>
      <c r="P8" s="6"/>
      <c r="Q8" s="1" t="s">
        <v>47</v>
      </c>
      <c r="R8" s="6"/>
      <c r="S8" s="6">
        <v>44965</v>
      </c>
      <c r="T8" s="6"/>
      <c r="U8" s="6"/>
      <c r="V8" s="24">
        <f t="shared" si="1"/>
        <v>44965</v>
      </c>
      <c r="W8">
        <f t="shared" si="2"/>
        <v>0</v>
      </c>
      <c r="X8" s="1" t="s">
        <v>73</v>
      </c>
      <c r="Y8" s="6">
        <v>44966</v>
      </c>
      <c r="Z8" s="1" t="s">
        <v>64</v>
      </c>
      <c r="AA8" s="6">
        <v>44966</v>
      </c>
      <c r="AB8">
        <f>AA8-Y8</f>
        <v>0</v>
      </c>
      <c r="AC8">
        <f>AA8-K8</f>
        <v>1</v>
      </c>
      <c r="AD8" s="6"/>
      <c r="AE8" s="6">
        <v>44966</v>
      </c>
      <c r="AF8" s="4">
        <f t="shared" si="0"/>
        <v>1</v>
      </c>
      <c r="AG8" s="6" t="s">
        <v>126</v>
      </c>
      <c r="AH8"/>
      <c r="AI8" s="6" t="s">
        <v>126</v>
      </c>
      <c r="AJ8" s="6">
        <v>45220</v>
      </c>
      <c r="AK8" s="1" t="s">
        <v>142</v>
      </c>
    </row>
    <row r="9" spans="1:38" ht="32.1" customHeight="1" x14ac:dyDescent="0.25">
      <c r="A9" s="4">
        <v>48</v>
      </c>
      <c r="B9" s="1" t="s">
        <v>214</v>
      </c>
      <c r="C9" s="1" t="s">
        <v>39</v>
      </c>
      <c r="D9" s="11" t="s">
        <v>215</v>
      </c>
      <c r="F9" s="10" t="s">
        <v>183</v>
      </c>
      <c r="G9" s="10" t="s">
        <v>88</v>
      </c>
      <c r="H9" s="5"/>
      <c r="I9" s="5">
        <v>9</v>
      </c>
      <c r="J9" s="21"/>
      <c r="K9" s="6">
        <v>44965</v>
      </c>
      <c r="L9">
        <v>6</v>
      </c>
      <c r="M9" s="1" t="s">
        <v>61</v>
      </c>
      <c r="O9"/>
      <c r="P9" s="6"/>
      <c r="Q9" s="1" t="s">
        <v>47</v>
      </c>
      <c r="R9" s="6">
        <v>44965</v>
      </c>
      <c r="S9" s="6"/>
      <c r="T9" s="6"/>
      <c r="U9" s="6"/>
      <c r="V9" s="24">
        <f t="shared" si="1"/>
        <v>44965</v>
      </c>
      <c r="W9">
        <f t="shared" si="2"/>
        <v>0</v>
      </c>
      <c r="X9" s="1" t="s">
        <v>73</v>
      </c>
      <c r="Y9" s="6">
        <v>44970</v>
      </c>
      <c r="Z9" s="1" t="s">
        <v>64</v>
      </c>
      <c r="AA9" s="6">
        <v>44970</v>
      </c>
      <c r="AB9">
        <f>AA9-Y9</f>
        <v>0</v>
      </c>
      <c r="AC9">
        <f>AA9-K9</f>
        <v>5</v>
      </c>
      <c r="AD9" s="6">
        <v>44933</v>
      </c>
      <c r="AE9" s="6">
        <v>44963</v>
      </c>
      <c r="AF9" s="4">
        <f t="shared" si="0"/>
        <v>-2</v>
      </c>
      <c r="AG9" s="6">
        <v>44924</v>
      </c>
      <c r="AH9">
        <f>K9-AG9</f>
        <v>41</v>
      </c>
      <c r="AI9" s="6" t="s">
        <v>118</v>
      </c>
      <c r="AJ9" s="6">
        <v>44977</v>
      </c>
      <c r="AK9" s="1" t="s">
        <v>142</v>
      </c>
      <c r="AL9" s="1" t="s">
        <v>216</v>
      </c>
    </row>
    <row r="10" spans="1:38" ht="32.1" customHeight="1" x14ac:dyDescent="0.25">
      <c r="A10" s="4">
        <v>49</v>
      </c>
      <c r="B10" s="1" t="s">
        <v>217</v>
      </c>
      <c r="C10" s="1" t="s">
        <v>68</v>
      </c>
      <c r="D10" s="12" t="s">
        <v>218</v>
      </c>
      <c r="F10" s="10" t="s">
        <v>59</v>
      </c>
      <c r="G10" s="10" t="s">
        <v>60</v>
      </c>
      <c r="H10" s="5"/>
      <c r="I10" s="5">
        <v>2</v>
      </c>
      <c r="J10" s="21"/>
      <c r="K10" s="6">
        <v>44967</v>
      </c>
      <c r="L10">
        <v>6</v>
      </c>
      <c r="M10" s="1" t="s">
        <v>98</v>
      </c>
      <c r="N10" s="1" t="s">
        <v>103</v>
      </c>
      <c r="O10" t="s">
        <v>219</v>
      </c>
      <c r="P10" s="6">
        <v>44967</v>
      </c>
      <c r="Q10" s="1" t="s">
        <v>47</v>
      </c>
      <c r="R10" s="6"/>
      <c r="S10" s="6"/>
      <c r="T10" s="6">
        <v>44970</v>
      </c>
      <c r="U10" s="6"/>
      <c r="V10" s="24">
        <f t="shared" si="1"/>
        <v>44970</v>
      </c>
      <c r="W10">
        <f t="shared" si="2"/>
        <v>3</v>
      </c>
      <c r="X10" s="1" t="s">
        <v>73</v>
      </c>
      <c r="Y10" s="6">
        <v>44970</v>
      </c>
      <c r="Z10" s="1" t="s">
        <v>94</v>
      </c>
      <c r="AA10" s="6">
        <v>44970</v>
      </c>
      <c r="AB10">
        <f>AA10-Y10</f>
        <v>0</v>
      </c>
      <c r="AC10">
        <f>AA10-K10</f>
        <v>3</v>
      </c>
      <c r="AD10" s="6">
        <v>44968</v>
      </c>
      <c r="AE10" s="6">
        <v>44968</v>
      </c>
      <c r="AF10" s="4">
        <f t="shared" si="0"/>
        <v>-2</v>
      </c>
      <c r="AG10" s="6"/>
      <c r="AH10"/>
      <c r="AI10" s="6"/>
      <c r="AJ10" s="6">
        <v>44982</v>
      </c>
      <c r="AK10" s="1" t="s">
        <v>75</v>
      </c>
      <c r="AL10" s="1" t="s">
        <v>220</v>
      </c>
    </row>
    <row r="11" spans="1:38" ht="32.1" customHeight="1" x14ac:dyDescent="0.25">
      <c r="A11" s="4">
        <v>6</v>
      </c>
      <c r="B11" s="1" t="s">
        <v>85</v>
      </c>
      <c r="C11" s="1" t="s">
        <v>39</v>
      </c>
      <c r="D11" s="11" t="s">
        <v>86</v>
      </c>
      <c r="F11" s="10" t="s">
        <v>87</v>
      </c>
      <c r="G11" s="10" t="s">
        <v>88</v>
      </c>
      <c r="H11" s="5">
        <v>7</v>
      </c>
      <c r="I11" s="5">
        <v>2</v>
      </c>
      <c r="J11" s="21">
        <f>(I11/H11)</f>
        <v>0.2857142857142857</v>
      </c>
      <c r="K11" s="6">
        <v>44970</v>
      </c>
      <c r="L11">
        <v>7</v>
      </c>
      <c r="M11" s="1" t="s">
        <v>82</v>
      </c>
      <c r="O11"/>
      <c r="P11" s="6"/>
      <c r="Q11" s="1" t="s">
        <v>47</v>
      </c>
      <c r="R11" s="6">
        <v>44971</v>
      </c>
      <c r="S11" s="6"/>
      <c r="T11" s="6">
        <v>44975</v>
      </c>
      <c r="U11" s="6">
        <v>44978</v>
      </c>
      <c r="V11" s="24">
        <f t="shared" si="1"/>
        <v>44971</v>
      </c>
      <c r="W11">
        <f t="shared" si="2"/>
        <v>1</v>
      </c>
      <c r="X11" s="1" t="s">
        <v>48</v>
      </c>
      <c r="Y11" s="6">
        <v>44978</v>
      </c>
      <c r="AA11" s="6"/>
      <c r="AB11"/>
      <c r="AC11"/>
      <c r="AD11" s="6">
        <v>44970</v>
      </c>
      <c r="AE11" s="6"/>
      <c r="AF11" s="4"/>
      <c r="AG11" s="6">
        <v>44941</v>
      </c>
      <c r="AH11">
        <f>K11-AG11</f>
        <v>29</v>
      </c>
      <c r="AI11" s="6"/>
      <c r="AJ11" s="6">
        <v>44978</v>
      </c>
      <c r="AK11" s="1" t="s">
        <v>49</v>
      </c>
      <c r="AL11" s="1" t="s">
        <v>89</v>
      </c>
    </row>
    <row r="12" spans="1:38" ht="32.1" customHeight="1" x14ac:dyDescent="0.25">
      <c r="A12" s="4">
        <v>50</v>
      </c>
      <c r="B12" s="1" t="s">
        <v>198</v>
      </c>
      <c r="C12" s="1" t="s">
        <v>39</v>
      </c>
      <c r="D12" s="11" t="s">
        <v>221</v>
      </c>
      <c r="E12" s="10" t="s">
        <v>185</v>
      </c>
      <c r="F12" s="10" t="s">
        <v>59</v>
      </c>
      <c r="G12" s="10" t="s">
        <v>60</v>
      </c>
      <c r="H12" s="5">
        <v>5</v>
      </c>
      <c r="I12" s="5">
        <v>1</v>
      </c>
      <c r="J12" s="21">
        <f>(I12/H12)</f>
        <v>0.2</v>
      </c>
      <c r="K12" s="6">
        <v>44971</v>
      </c>
      <c r="L12">
        <v>7</v>
      </c>
      <c r="M12" s="1" t="s">
        <v>222</v>
      </c>
      <c r="O12"/>
      <c r="P12" s="6"/>
      <c r="Q12" s="1" t="s">
        <v>47</v>
      </c>
      <c r="R12" s="6">
        <v>44972</v>
      </c>
      <c r="S12" s="6"/>
      <c r="T12" s="6"/>
      <c r="U12" s="6"/>
      <c r="V12" s="24">
        <f t="shared" si="1"/>
        <v>44972</v>
      </c>
      <c r="W12">
        <f t="shared" si="2"/>
        <v>1</v>
      </c>
      <c r="X12" s="1" t="s">
        <v>48</v>
      </c>
      <c r="Y12" s="6">
        <v>44975</v>
      </c>
      <c r="AA12" s="6"/>
      <c r="AB12"/>
      <c r="AC12"/>
      <c r="AD12" s="6">
        <v>44972</v>
      </c>
      <c r="AE12" s="6"/>
      <c r="AF12" s="4"/>
      <c r="AG12" s="6">
        <v>44968</v>
      </c>
      <c r="AH12">
        <f>K12-AG12</f>
        <v>3</v>
      </c>
      <c r="AI12" s="6" t="s">
        <v>118</v>
      </c>
      <c r="AJ12" s="6">
        <v>44985</v>
      </c>
      <c r="AK12" s="1" t="s">
        <v>170</v>
      </c>
      <c r="AL12" s="1" t="s">
        <v>223</v>
      </c>
    </row>
    <row r="13" spans="1:38" ht="32.1" customHeight="1" x14ac:dyDescent="0.25">
      <c r="A13" s="4">
        <v>18</v>
      </c>
      <c r="B13" s="1" t="s">
        <v>139</v>
      </c>
      <c r="C13" s="1" t="s">
        <v>39</v>
      </c>
      <c r="D13" s="11" t="s">
        <v>363</v>
      </c>
      <c r="F13" s="10" t="s">
        <v>140</v>
      </c>
      <c r="G13" s="10" t="s">
        <v>117</v>
      </c>
      <c r="H13" s="5">
        <v>11</v>
      </c>
      <c r="I13" s="5">
        <v>8</v>
      </c>
      <c r="J13" s="21">
        <f>(I13/H13)</f>
        <v>0.72727272727272729</v>
      </c>
      <c r="K13" s="6">
        <v>44972</v>
      </c>
      <c r="L13">
        <v>7</v>
      </c>
      <c r="M13" s="1" t="s">
        <v>110</v>
      </c>
      <c r="P13" s="6"/>
      <c r="Q13" s="1" t="s">
        <v>47</v>
      </c>
      <c r="R13" s="6">
        <v>44972</v>
      </c>
      <c r="S13" s="6">
        <v>44972</v>
      </c>
      <c r="T13" s="6"/>
      <c r="U13" s="6"/>
      <c r="V13" s="24">
        <f t="shared" si="1"/>
        <v>44972</v>
      </c>
      <c r="W13">
        <f t="shared" si="2"/>
        <v>0</v>
      </c>
      <c r="X13" s="1" t="s">
        <v>73</v>
      </c>
      <c r="Y13" s="6">
        <v>44973</v>
      </c>
      <c r="Z13" s="1" t="s">
        <v>74</v>
      </c>
      <c r="AA13" s="6">
        <v>44973</v>
      </c>
      <c r="AB13">
        <f t="shared" ref="AB13:AB22" si="3">AA13-Y13</f>
        <v>0</v>
      </c>
      <c r="AC13">
        <f t="shared" ref="AC13:AC22" si="4">AA13-K13</f>
        <v>1</v>
      </c>
      <c r="AD13" s="6">
        <v>44972</v>
      </c>
      <c r="AE13" s="6">
        <v>44972</v>
      </c>
      <c r="AF13" s="4">
        <f>AE13-V13</f>
        <v>0</v>
      </c>
      <c r="AG13" s="6">
        <v>44928</v>
      </c>
      <c r="AH13">
        <f>K13-AG13</f>
        <v>44</v>
      </c>
      <c r="AI13" s="6">
        <v>44936</v>
      </c>
      <c r="AJ13" s="6">
        <v>44997</v>
      </c>
      <c r="AK13" s="1" t="s">
        <v>49</v>
      </c>
    </row>
    <row r="14" spans="1:38" ht="32.1" customHeight="1" x14ac:dyDescent="0.25">
      <c r="A14" s="4">
        <v>19</v>
      </c>
      <c r="B14" s="1" t="s">
        <v>141</v>
      </c>
      <c r="C14" s="1" t="s">
        <v>39</v>
      </c>
      <c r="D14" s="11" t="s">
        <v>364</v>
      </c>
      <c r="E14" s="10" t="s">
        <v>122</v>
      </c>
      <c r="F14" s="10" t="s">
        <v>123</v>
      </c>
      <c r="G14" s="10" t="s">
        <v>80</v>
      </c>
      <c r="H14" s="5">
        <v>20</v>
      </c>
      <c r="I14" s="5">
        <v>4</v>
      </c>
      <c r="J14" s="21">
        <f>(I14/H14)</f>
        <v>0.2</v>
      </c>
      <c r="K14" s="6">
        <v>44977</v>
      </c>
      <c r="L14">
        <v>8</v>
      </c>
      <c r="M14" s="1" t="s">
        <v>44</v>
      </c>
      <c r="N14" s="1" t="s">
        <v>103</v>
      </c>
      <c r="O14" t="s">
        <v>365</v>
      </c>
      <c r="P14" s="6">
        <v>44977</v>
      </c>
      <c r="Q14" s="1" t="s">
        <v>47</v>
      </c>
      <c r="R14" s="6">
        <v>44978</v>
      </c>
      <c r="S14" s="6"/>
      <c r="T14" s="6">
        <v>44978</v>
      </c>
      <c r="U14" s="6"/>
      <c r="V14" s="24">
        <f t="shared" si="1"/>
        <v>44978</v>
      </c>
      <c r="W14">
        <f t="shared" si="2"/>
        <v>1</v>
      </c>
      <c r="X14" s="1" t="s">
        <v>73</v>
      </c>
      <c r="Y14" s="6">
        <v>44978</v>
      </c>
      <c r="Z14" s="1" t="s">
        <v>64</v>
      </c>
      <c r="AA14" s="6">
        <v>44979</v>
      </c>
      <c r="AB14">
        <f t="shared" si="3"/>
        <v>1</v>
      </c>
      <c r="AC14">
        <f t="shared" si="4"/>
        <v>2</v>
      </c>
      <c r="AD14" s="6">
        <v>44975</v>
      </c>
      <c r="AE14" s="6">
        <v>44975</v>
      </c>
      <c r="AF14" s="4">
        <f>AE14-V14</f>
        <v>-3</v>
      </c>
      <c r="AG14" s="6">
        <v>44965</v>
      </c>
      <c r="AH14">
        <f>K14-AG14</f>
        <v>12</v>
      </c>
      <c r="AI14" s="6">
        <v>44969</v>
      </c>
      <c r="AJ14" s="6">
        <v>44986</v>
      </c>
      <c r="AK14" s="1" t="s">
        <v>142</v>
      </c>
    </row>
    <row r="15" spans="1:38" ht="32.1" customHeight="1" x14ac:dyDescent="0.25">
      <c r="A15" s="4">
        <v>51</v>
      </c>
      <c r="B15" s="1" t="s">
        <v>224</v>
      </c>
      <c r="C15" s="1" t="s">
        <v>52</v>
      </c>
      <c r="D15" s="11" t="s">
        <v>225</v>
      </c>
      <c r="F15" s="10" t="s">
        <v>208</v>
      </c>
      <c r="G15" s="10" t="s">
        <v>117</v>
      </c>
      <c r="H15" s="5"/>
      <c r="I15" s="5">
        <v>1</v>
      </c>
      <c r="J15" s="21"/>
      <c r="K15" s="6">
        <v>44977</v>
      </c>
      <c r="L15">
        <v>8</v>
      </c>
      <c r="M15" s="1" t="s">
        <v>157</v>
      </c>
      <c r="P15" s="6"/>
      <c r="Q15" s="1" t="s">
        <v>47</v>
      </c>
      <c r="R15" s="6">
        <v>44978</v>
      </c>
      <c r="S15" s="6"/>
      <c r="T15" s="6"/>
      <c r="U15" s="6"/>
      <c r="V15" s="24">
        <f t="shared" si="1"/>
        <v>44978</v>
      </c>
      <c r="W15">
        <f t="shared" si="2"/>
        <v>1</v>
      </c>
      <c r="X15" s="1" t="s">
        <v>73</v>
      </c>
      <c r="Y15" s="6">
        <v>44984</v>
      </c>
      <c r="Z15" s="1" t="s">
        <v>94</v>
      </c>
      <c r="AA15" s="6">
        <v>44985</v>
      </c>
      <c r="AB15">
        <f t="shared" si="3"/>
        <v>1</v>
      </c>
      <c r="AC15">
        <f t="shared" si="4"/>
        <v>8</v>
      </c>
      <c r="AD15" s="6">
        <v>44985</v>
      </c>
      <c r="AE15" s="6">
        <v>44985</v>
      </c>
      <c r="AF15" s="4">
        <f>AE15-V15</f>
        <v>7</v>
      </c>
      <c r="AG15" s="6"/>
      <c r="AH15"/>
      <c r="AI15" s="6">
        <v>44977</v>
      </c>
      <c r="AJ15" s="6">
        <v>45031</v>
      </c>
      <c r="AK15" s="1" t="s">
        <v>55</v>
      </c>
    </row>
    <row r="16" spans="1:38" ht="32.1" customHeight="1" x14ac:dyDescent="0.25">
      <c r="A16" s="4">
        <v>52</v>
      </c>
      <c r="B16" s="1" t="s">
        <v>226</v>
      </c>
      <c r="C16" s="1" t="s">
        <v>39</v>
      </c>
      <c r="D16" s="11" t="s">
        <v>227</v>
      </c>
      <c r="F16" s="10" t="s">
        <v>79</v>
      </c>
      <c r="G16" s="10" t="s">
        <v>80</v>
      </c>
      <c r="H16" s="5">
        <v>2</v>
      </c>
      <c r="I16" s="5">
        <v>0</v>
      </c>
      <c r="J16" s="21"/>
      <c r="K16" s="6">
        <v>44977</v>
      </c>
      <c r="L16">
        <v>8</v>
      </c>
      <c r="M16" s="1" t="s">
        <v>110</v>
      </c>
      <c r="O16"/>
      <c r="P16" s="6"/>
      <c r="Q16" s="1" t="s">
        <v>47</v>
      </c>
      <c r="R16" s="6">
        <v>44978</v>
      </c>
      <c r="S16" s="6"/>
      <c r="T16" s="6">
        <v>44980</v>
      </c>
      <c r="U16" s="6"/>
      <c r="V16" s="24">
        <f t="shared" si="1"/>
        <v>44978</v>
      </c>
      <c r="W16">
        <f t="shared" si="2"/>
        <v>1</v>
      </c>
      <c r="X16" s="1" t="s">
        <v>63</v>
      </c>
      <c r="Y16" s="6">
        <v>44980</v>
      </c>
      <c r="Z16" s="1" t="s">
        <v>94</v>
      </c>
      <c r="AA16" s="6">
        <v>44980</v>
      </c>
      <c r="AB16">
        <f t="shared" si="3"/>
        <v>0</v>
      </c>
      <c r="AC16">
        <f t="shared" si="4"/>
        <v>3</v>
      </c>
      <c r="AD16" s="6">
        <v>44977</v>
      </c>
      <c r="AE16" s="6">
        <v>44977</v>
      </c>
      <c r="AF16" s="4">
        <f>AE16-V16</f>
        <v>-1</v>
      </c>
      <c r="AG16" s="6">
        <v>44969</v>
      </c>
      <c r="AH16">
        <f>K16-AG16</f>
        <v>8</v>
      </c>
      <c r="AI16" s="6">
        <v>44972</v>
      </c>
      <c r="AJ16" s="6"/>
      <c r="AK16" s="1" t="s">
        <v>170</v>
      </c>
    </row>
    <row r="17" spans="1:38" ht="32.1" customHeight="1" x14ac:dyDescent="0.25">
      <c r="A17" s="4">
        <v>86</v>
      </c>
      <c r="B17" s="1" t="s">
        <v>317</v>
      </c>
      <c r="C17" s="1" t="s">
        <v>39</v>
      </c>
      <c r="D17" s="11" t="s">
        <v>318</v>
      </c>
      <c r="E17" s="10" t="s">
        <v>122</v>
      </c>
      <c r="F17" s="10" t="s">
        <v>319</v>
      </c>
      <c r="G17" s="10" t="s">
        <v>80</v>
      </c>
      <c r="H17" s="5">
        <v>1000</v>
      </c>
      <c r="I17" s="5">
        <v>0</v>
      </c>
      <c r="J17" s="21"/>
      <c r="K17" s="6">
        <v>44982</v>
      </c>
      <c r="L17">
        <v>8</v>
      </c>
      <c r="M17" s="1" t="s">
        <v>320</v>
      </c>
      <c r="O17" s="8"/>
      <c r="P17" s="6"/>
      <c r="Q17" s="1" t="s">
        <v>62</v>
      </c>
      <c r="R17" s="6"/>
      <c r="S17" s="6"/>
      <c r="T17" s="6"/>
      <c r="U17" s="6"/>
      <c r="V17" s="24"/>
      <c r="W17"/>
      <c r="X17" s="1" t="s">
        <v>73</v>
      </c>
      <c r="Y17" s="6">
        <v>44982</v>
      </c>
      <c r="Z17" s="1" t="s">
        <v>94</v>
      </c>
      <c r="AA17" s="6">
        <v>44982</v>
      </c>
      <c r="AB17">
        <f t="shared" si="3"/>
        <v>0</v>
      </c>
      <c r="AC17">
        <f t="shared" si="4"/>
        <v>0</v>
      </c>
      <c r="AD17" s="6">
        <v>44982</v>
      </c>
      <c r="AE17" s="6">
        <v>44982</v>
      </c>
      <c r="AF17" s="4"/>
      <c r="AG17" s="6">
        <v>44979</v>
      </c>
      <c r="AH17">
        <f>K17-AG17</f>
        <v>3</v>
      </c>
      <c r="AI17" s="6" t="s">
        <v>118</v>
      </c>
      <c r="AJ17" s="6">
        <v>44987</v>
      </c>
      <c r="AK17" s="1" t="s">
        <v>175</v>
      </c>
      <c r="AL17" s="1" t="s">
        <v>321</v>
      </c>
    </row>
    <row r="18" spans="1:38" ht="32.1" customHeight="1" x14ac:dyDescent="0.25">
      <c r="A18" s="4">
        <v>87</v>
      </c>
      <c r="B18" s="1" t="s">
        <v>149</v>
      </c>
      <c r="C18" s="1" t="s">
        <v>52</v>
      </c>
      <c r="D18" s="11" t="s">
        <v>322</v>
      </c>
      <c r="F18" s="10" t="s">
        <v>323</v>
      </c>
      <c r="G18" s="10" t="s">
        <v>88</v>
      </c>
      <c r="H18" s="5"/>
      <c r="I18" s="5"/>
      <c r="J18" s="21"/>
      <c r="K18" s="6">
        <v>44982</v>
      </c>
      <c r="L18">
        <v>8</v>
      </c>
      <c r="M18" s="1" t="s">
        <v>209</v>
      </c>
      <c r="P18" s="6"/>
      <c r="Q18" s="1" t="s">
        <v>62</v>
      </c>
      <c r="R18" s="6"/>
      <c r="S18" s="6"/>
      <c r="T18" s="6"/>
      <c r="U18" s="6"/>
      <c r="V18" s="24"/>
      <c r="W18"/>
      <c r="X18" s="1" t="s">
        <v>73</v>
      </c>
      <c r="Y18" s="6">
        <v>44982</v>
      </c>
      <c r="Z18" s="6" t="s">
        <v>94</v>
      </c>
      <c r="AA18" s="6">
        <v>44982</v>
      </c>
      <c r="AB18">
        <f t="shared" si="3"/>
        <v>0</v>
      </c>
      <c r="AC18">
        <f t="shared" si="4"/>
        <v>0</v>
      </c>
      <c r="AD18" s="6">
        <v>44958</v>
      </c>
      <c r="AE18" s="6">
        <v>44982</v>
      </c>
      <c r="AF18" s="4"/>
      <c r="AG18" s="6"/>
      <c r="AH18"/>
      <c r="AI18" s="6">
        <v>44959</v>
      </c>
      <c r="AJ18" s="6">
        <v>44986</v>
      </c>
      <c r="AK18" s="1" t="s">
        <v>55</v>
      </c>
      <c r="AL18" s="9"/>
    </row>
    <row r="19" spans="1:38" ht="32.1" customHeight="1" x14ac:dyDescent="0.25">
      <c r="A19" s="4">
        <v>53</v>
      </c>
      <c r="B19" s="1" t="s">
        <v>120</v>
      </c>
      <c r="C19" s="1" t="s">
        <v>39</v>
      </c>
      <c r="D19" s="11" t="s">
        <v>228</v>
      </c>
      <c r="E19" s="10" t="s">
        <v>122</v>
      </c>
      <c r="F19" s="10" t="s">
        <v>123</v>
      </c>
      <c r="G19" s="10" t="s">
        <v>80</v>
      </c>
      <c r="H19" s="5"/>
      <c r="I19" s="5"/>
      <c r="J19" s="21"/>
      <c r="K19" s="6">
        <v>44995</v>
      </c>
      <c r="L19">
        <v>10</v>
      </c>
      <c r="M19" s="1" t="s">
        <v>110</v>
      </c>
      <c r="O19"/>
      <c r="P19" s="6"/>
      <c r="Q19" s="1" t="s">
        <v>47</v>
      </c>
      <c r="R19" s="6">
        <v>44996</v>
      </c>
      <c r="S19" s="6">
        <v>44996</v>
      </c>
      <c r="T19" s="6">
        <v>45002</v>
      </c>
      <c r="U19" s="6"/>
      <c r="V19" s="24">
        <f t="shared" ref="V19:V25" si="5">MIN(R19:U19)</f>
        <v>44996</v>
      </c>
      <c r="W19">
        <f t="shared" ref="W19:W25" si="6">V19-K19</f>
        <v>1</v>
      </c>
      <c r="X19" s="1" t="s">
        <v>73</v>
      </c>
      <c r="Y19" s="6">
        <v>45003</v>
      </c>
      <c r="Z19" s="1" t="s">
        <v>64</v>
      </c>
      <c r="AA19" s="6">
        <v>45005</v>
      </c>
      <c r="AB19">
        <f t="shared" si="3"/>
        <v>2</v>
      </c>
      <c r="AC19">
        <f t="shared" si="4"/>
        <v>10</v>
      </c>
      <c r="AD19" s="6">
        <v>44998</v>
      </c>
      <c r="AE19" s="6">
        <v>45006</v>
      </c>
      <c r="AF19" s="4">
        <f>AE19-V19</f>
        <v>10</v>
      </c>
      <c r="AG19" s="6">
        <v>44990</v>
      </c>
      <c r="AH19">
        <f>K19-AG19</f>
        <v>5</v>
      </c>
      <c r="AI19" s="6" t="s">
        <v>118</v>
      </c>
      <c r="AJ19" s="6">
        <v>45073</v>
      </c>
      <c r="AK19" s="1" t="s">
        <v>142</v>
      </c>
    </row>
    <row r="20" spans="1:38" ht="32.1" customHeight="1" x14ac:dyDescent="0.25">
      <c r="A20" s="4">
        <v>54</v>
      </c>
      <c r="B20" s="1" t="s">
        <v>198</v>
      </c>
      <c r="C20" s="1" t="s">
        <v>39</v>
      </c>
      <c r="D20" s="11" t="s">
        <v>229</v>
      </c>
      <c r="E20" s="10" t="s">
        <v>230</v>
      </c>
      <c r="F20" s="10" t="s">
        <v>183</v>
      </c>
      <c r="G20" s="10" t="s">
        <v>88</v>
      </c>
      <c r="H20" s="5">
        <v>7</v>
      </c>
      <c r="I20" s="5">
        <v>5</v>
      </c>
      <c r="J20" s="21">
        <f>(I20/H20)</f>
        <v>0.7142857142857143</v>
      </c>
      <c r="K20" s="6">
        <v>45001</v>
      </c>
      <c r="L20">
        <v>11</v>
      </c>
      <c r="M20" s="1" t="s">
        <v>82</v>
      </c>
      <c r="P20" s="6"/>
      <c r="Q20" s="1" t="s">
        <v>47</v>
      </c>
      <c r="R20" s="6">
        <v>45001</v>
      </c>
      <c r="S20" s="6">
        <v>45001</v>
      </c>
      <c r="T20" s="6"/>
      <c r="U20" s="6"/>
      <c r="V20" s="24">
        <f t="shared" si="5"/>
        <v>45001</v>
      </c>
      <c r="W20">
        <f t="shared" si="6"/>
        <v>0</v>
      </c>
      <c r="X20" s="1" t="s">
        <v>73</v>
      </c>
      <c r="Y20" s="6">
        <v>45006</v>
      </c>
      <c r="Z20" s="1" t="s">
        <v>64</v>
      </c>
      <c r="AA20" s="6">
        <v>45007</v>
      </c>
      <c r="AB20">
        <f t="shared" si="3"/>
        <v>1</v>
      </c>
      <c r="AC20">
        <f t="shared" si="4"/>
        <v>6</v>
      </c>
      <c r="AD20" s="6">
        <v>45001</v>
      </c>
      <c r="AE20" s="6">
        <v>45005</v>
      </c>
      <c r="AF20" s="4">
        <f>AE20-V20</f>
        <v>4</v>
      </c>
      <c r="AG20" s="6">
        <v>44987</v>
      </c>
      <c r="AH20">
        <f>K20-AG20</f>
        <v>14</v>
      </c>
      <c r="AI20" s="6" t="s">
        <v>118</v>
      </c>
      <c r="AJ20" s="6">
        <v>45013</v>
      </c>
      <c r="AK20" s="1" t="s">
        <v>196</v>
      </c>
      <c r="AL20" s="1" t="s">
        <v>231</v>
      </c>
    </row>
    <row r="21" spans="1:38" ht="32.1" customHeight="1" x14ac:dyDescent="0.25">
      <c r="A21" s="4">
        <v>55</v>
      </c>
      <c r="B21" s="1" t="s">
        <v>232</v>
      </c>
      <c r="C21" s="1" t="s">
        <v>39</v>
      </c>
      <c r="D21" s="11" t="s">
        <v>233</v>
      </c>
      <c r="F21" s="10" t="s">
        <v>123</v>
      </c>
      <c r="G21" s="10" t="s">
        <v>80</v>
      </c>
      <c r="H21" s="5">
        <v>292</v>
      </c>
      <c r="I21" s="5">
        <v>3</v>
      </c>
      <c r="J21" s="21">
        <f>(I21/H21)</f>
        <v>1.0273972602739725E-2</v>
      </c>
      <c r="K21" s="6">
        <v>45004</v>
      </c>
      <c r="L21">
        <v>12</v>
      </c>
      <c r="M21" s="1" t="s">
        <v>110</v>
      </c>
      <c r="P21" s="6"/>
      <c r="Q21" s="1" t="s">
        <v>47</v>
      </c>
      <c r="R21" s="6">
        <v>45004</v>
      </c>
      <c r="S21" s="6">
        <v>45004</v>
      </c>
      <c r="T21" s="6">
        <v>45004</v>
      </c>
      <c r="U21" s="6"/>
      <c r="V21" s="24">
        <f t="shared" si="5"/>
        <v>45004</v>
      </c>
      <c r="W21">
        <f t="shared" si="6"/>
        <v>0</v>
      </c>
      <c r="X21" s="1" t="s">
        <v>73</v>
      </c>
      <c r="Y21" s="6">
        <v>45006</v>
      </c>
      <c r="Z21" s="1" t="s">
        <v>64</v>
      </c>
      <c r="AA21" s="6">
        <v>45007</v>
      </c>
      <c r="AB21">
        <f t="shared" si="3"/>
        <v>1</v>
      </c>
      <c r="AC21">
        <f t="shared" si="4"/>
        <v>3</v>
      </c>
      <c r="AD21" s="6">
        <v>45000</v>
      </c>
      <c r="AE21" s="6">
        <v>45000</v>
      </c>
      <c r="AF21" s="4">
        <f>AE21-V21</f>
        <v>-4</v>
      </c>
      <c r="AG21" s="6">
        <v>44998</v>
      </c>
      <c r="AH21">
        <f>K21-AG21</f>
        <v>6</v>
      </c>
      <c r="AI21" s="6" t="s">
        <v>118</v>
      </c>
      <c r="AJ21" s="6">
        <v>45017</v>
      </c>
      <c r="AK21" s="1" t="s">
        <v>196</v>
      </c>
      <c r="AL21" s="1" t="s">
        <v>234</v>
      </c>
    </row>
    <row r="22" spans="1:38" ht="32.1" customHeight="1" x14ac:dyDescent="0.25">
      <c r="A22" s="4">
        <v>22</v>
      </c>
      <c r="B22" s="1" t="s">
        <v>149</v>
      </c>
      <c r="C22" s="1" t="s">
        <v>52</v>
      </c>
      <c r="D22" s="11" t="s">
        <v>150</v>
      </c>
      <c r="F22" s="10" t="s">
        <v>79</v>
      </c>
      <c r="G22" s="10" t="s">
        <v>80</v>
      </c>
      <c r="H22" s="5">
        <v>0</v>
      </c>
      <c r="I22" s="5"/>
      <c r="J22" s="21"/>
      <c r="K22" s="6">
        <v>45007</v>
      </c>
      <c r="L22">
        <v>12</v>
      </c>
      <c r="M22" s="1" t="s">
        <v>54</v>
      </c>
      <c r="O22"/>
      <c r="P22" s="6"/>
      <c r="Q22" s="1" t="s">
        <v>47</v>
      </c>
      <c r="R22" s="6">
        <v>45007</v>
      </c>
      <c r="S22" s="6">
        <v>45007</v>
      </c>
      <c r="T22" s="6"/>
      <c r="U22" s="6"/>
      <c r="V22" s="24">
        <f t="shared" si="5"/>
        <v>45007</v>
      </c>
      <c r="W22">
        <f t="shared" si="6"/>
        <v>0</v>
      </c>
      <c r="X22" s="1" t="s">
        <v>73</v>
      </c>
      <c r="Y22" s="6">
        <v>45007</v>
      </c>
      <c r="Z22" s="1" t="s">
        <v>64</v>
      </c>
      <c r="AA22" s="6">
        <v>45007</v>
      </c>
      <c r="AB22">
        <f t="shared" si="3"/>
        <v>0</v>
      </c>
      <c r="AC22">
        <f t="shared" si="4"/>
        <v>0</v>
      </c>
      <c r="AD22" s="6">
        <v>45000</v>
      </c>
      <c r="AE22" s="6">
        <v>45002</v>
      </c>
      <c r="AF22" s="4">
        <f>AE22-V22</f>
        <v>-5</v>
      </c>
      <c r="AG22" s="6"/>
      <c r="AH22"/>
      <c r="AI22" s="6">
        <v>45000</v>
      </c>
      <c r="AJ22" s="6">
        <v>45016</v>
      </c>
      <c r="AK22" s="1" t="s">
        <v>55</v>
      </c>
    </row>
    <row r="23" spans="1:38" ht="32.1" customHeight="1" x14ac:dyDescent="0.25">
      <c r="A23" s="4">
        <v>56</v>
      </c>
      <c r="B23" s="1" t="s">
        <v>235</v>
      </c>
      <c r="C23" s="1" t="s">
        <v>39</v>
      </c>
      <c r="D23" s="11" t="s">
        <v>236</v>
      </c>
      <c r="E23" s="10" t="s">
        <v>78</v>
      </c>
      <c r="F23" s="10" t="s">
        <v>79</v>
      </c>
      <c r="G23" s="10" t="s">
        <v>80</v>
      </c>
      <c r="H23" s="5"/>
      <c r="I23" s="5">
        <v>1</v>
      </c>
      <c r="J23" s="21"/>
      <c r="K23" s="6">
        <v>45007</v>
      </c>
      <c r="L23">
        <v>12</v>
      </c>
      <c r="M23" s="1" t="s">
        <v>82</v>
      </c>
      <c r="O23"/>
      <c r="P23" s="6"/>
      <c r="Q23" s="1" t="s">
        <v>47</v>
      </c>
      <c r="R23" s="6">
        <v>45007</v>
      </c>
      <c r="S23" s="6"/>
      <c r="T23" s="6"/>
      <c r="U23" s="6"/>
      <c r="V23" s="24">
        <f t="shared" si="5"/>
        <v>45007</v>
      </c>
      <c r="W23">
        <f t="shared" si="6"/>
        <v>0</v>
      </c>
      <c r="X23" s="1" t="s">
        <v>48</v>
      </c>
      <c r="Y23" s="6">
        <v>45008</v>
      </c>
      <c r="AA23" s="6"/>
      <c r="AB23"/>
      <c r="AC23"/>
      <c r="AD23" s="6">
        <v>45007</v>
      </c>
      <c r="AE23" s="6"/>
      <c r="AF23" s="4"/>
      <c r="AG23" s="6" t="s">
        <v>118</v>
      </c>
      <c r="AH23"/>
      <c r="AI23" s="6" t="s">
        <v>118</v>
      </c>
      <c r="AJ23" s="6">
        <v>45013</v>
      </c>
      <c r="AK23" s="1" t="s">
        <v>55</v>
      </c>
      <c r="AL23" s="1" t="s">
        <v>237</v>
      </c>
    </row>
    <row r="24" spans="1:38" ht="32.1" customHeight="1" x14ac:dyDescent="0.25">
      <c r="A24" s="4">
        <v>57</v>
      </c>
      <c r="B24" s="1" t="s">
        <v>198</v>
      </c>
      <c r="C24" s="1" t="s">
        <v>39</v>
      </c>
      <c r="D24" s="11" t="s">
        <v>238</v>
      </c>
      <c r="E24" s="10" t="s">
        <v>239</v>
      </c>
      <c r="F24" s="10" t="s">
        <v>129</v>
      </c>
      <c r="G24" s="10" t="s">
        <v>43</v>
      </c>
      <c r="H24" s="5">
        <v>13</v>
      </c>
      <c r="I24" s="5">
        <v>13</v>
      </c>
      <c r="J24" s="21">
        <f>(I24/H24)</f>
        <v>1</v>
      </c>
      <c r="K24" s="6">
        <v>45007</v>
      </c>
      <c r="L24">
        <v>12</v>
      </c>
      <c r="M24" s="1" t="s">
        <v>222</v>
      </c>
      <c r="O24"/>
      <c r="P24" s="6"/>
      <c r="Q24" s="1" t="s">
        <v>47</v>
      </c>
      <c r="R24" s="6">
        <v>45007</v>
      </c>
      <c r="S24" s="6"/>
      <c r="T24" s="6"/>
      <c r="U24" s="6"/>
      <c r="V24" s="24">
        <f t="shared" si="5"/>
        <v>45007</v>
      </c>
      <c r="W24">
        <f t="shared" si="6"/>
        <v>0</v>
      </c>
      <c r="X24" s="1" t="s">
        <v>73</v>
      </c>
      <c r="Y24" s="6">
        <v>45018</v>
      </c>
      <c r="Z24" s="1" t="s">
        <v>94</v>
      </c>
      <c r="AA24" s="6">
        <v>45018</v>
      </c>
      <c r="AB24">
        <f>AA24-Y24</f>
        <v>0</v>
      </c>
      <c r="AC24">
        <f>AA24-K24</f>
        <v>11</v>
      </c>
      <c r="AD24" s="6">
        <v>45007</v>
      </c>
      <c r="AE24" s="6">
        <v>45007</v>
      </c>
      <c r="AF24" s="4">
        <f>AE24-V24</f>
        <v>0</v>
      </c>
      <c r="AG24" s="6">
        <v>45000</v>
      </c>
      <c r="AH24">
        <f t="shared" ref="AH24:AH30" si="7">K24-AG24</f>
        <v>7</v>
      </c>
      <c r="AI24" s="6" t="s">
        <v>65</v>
      </c>
      <c r="AJ24" s="6">
        <v>45051</v>
      </c>
      <c r="AK24" s="1" t="s">
        <v>170</v>
      </c>
      <c r="AL24" s="1" t="s">
        <v>240</v>
      </c>
    </row>
    <row r="25" spans="1:38" ht="32.1" customHeight="1" x14ac:dyDescent="0.25">
      <c r="A25" s="4">
        <v>58</v>
      </c>
      <c r="B25" s="1" t="s">
        <v>241</v>
      </c>
      <c r="C25" s="1" t="s">
        <v>39</v>
      </c>
      <c r="D25" s="11" t="s">
        <v>242</v>
      </c>
      <c r="F25" s="10" t="s">
        <v>199</v>
      </c>
      <c r="G25" s="10" t="s">
        <v>200</v>
      </c>
      <c r="H25" s="5">
        <v>1</v>
      </c>
      <c r="I25" s="5">
        <v>1</v>
      </c>
      <c r="J25" s="21">
        <f>(I25/H25)</f>
        <v>1</v>
      </c>
      <c r="K25" s="6">
        <v>45008</v>
      </c>
      <c r="L25">
        <v>12</v>
      </c>
      <c r="M25" s="1" t="s">
        <v>61</v>
      </c>
      <c r="O25"/>
      <c r="P25" s="6"/>
      <c r="Q25" s="1" t="s">
        <v>47</v>
      </c>
      <c r="R25" s="6">
        <v>45009</v>
      </c>
      <c r="S25" s="6"/>
      <c r="T25" s="6"/>
      <c r="U25" s="6"/>
      <c r="V25" s="24">
        <f t="shared" si="5"/>
        <v>45009</v>
      </c>
      <c r="W25">
        <f t="shared" si="6"/>
        <v>1</v>
      </c>
      <c r="X25" s="1" t="s">
        <v>48</v>
      </c>
      <c r="Y25" s="6">
        <v>45014</v>
      </c>
      <c r="AA25" s="6"/>
      <c r="AB25"/>
      <c r="AC25"/>
      <c r="AD25" s="6">
        <v>45010</v>
      </c>
      <c r="AE25" s="6">
        <v>45010</v>
      </c>
      <c r="AF25" s="4">
        <f>AE25-V25</f>
        <v>1</v>
      </c>
      <c r="AG25" s="6">
        <v>45006</v>
      </c>
      <c r="AH25">
        <f t="shared" si="7"/>
        <v>2</v>
      </c>
      <c r="AI25" s="6" t="s">
        <v>118</v>
      </c>
      <c r="AJ25" s="6">
        <v>45016</v>
      </c>
      <c r="AK25" s="1" t="s">
        <v>170</v>
      </c>
      <c r="AL25" s="1" t="s">
        <v>243</v>
      </c>
    </row>
    <row r="26" spans="1:38" ht="32.1" customHeight="1" x14ac:dyDescent="0.25">
      <c r="A26" s="4">
        <v>59</v>
      </c>
      <c r="B26" s="1" t="s">
        <v>244</v>
      </c>
      <c r="C26" s="1" t="s">
        <v>39</v>
      </c>
      <c r="D26" s="11" t="s">
        <v>245</v>
      </c>
      <c r="F26" s="10" t="s">
        <v>129</v>
      </c>
      <c r="G26" s="10" t="s">
        <v>117</v>
      </c>
      <c r="H26" s="5">
        <v>1</v>
      </c>
      <c r="I26" s="5">
        <v>0</v>
      </c>
      <c r="J26" s="21"/>
      <c r="K26" s="6">
        <v>45008</v>
      </c>
      <c r="L26">
        <v>12</v>
      </c>
      <c r="M26" s="1" t="s">
        <v>61</v>
      </c>
      <c r="O26"/>
      <c r="P26" s="6"/>
      <c r="Q26" s="1" t="s">
        <v>62</v>
      </c>
      <c r="R26" s="6"/>
      <c r="S26" s="6"/>
      <c r="T26" s="6"/>
      <c r="U26" s="6"/>
      <c r="V26" s="24"/>
      <c r="W26"/>
      <c r="X26" s="1" t="s">
        <v>73</v>
      </c>
      <c r="Y26" s="6">
        <v>45010</v>
      </c>
      <c r="Z26" s="1" t="s">
        <v>94</v>
      </c>
      <c r="AA26" s="6">
        <v>45010</v>
      </c>
      <c r="AB26">
        <f>AA26-Y26</f>
        <v>0</v>
      </c>
      <c r="AC26">
        <f>AA26-K26</f>
        <v>2</v>
      </c>
      <c r="AD26" s="6">
        <v>45287</v>
      </c>
      <c r="AE26" s="6">
        <v>45021</v>
      </c>
      <c r="AF26" s="4"/>
      <c r="AG26" s="6">
        <v>44915</v>
      </c>
      <c r="AH26">
        <f t="shared" si="7"/>
        <v>93</v>
      </c>
      <c r="AI26" s="6">
        <v>45008</v>
      </c>
      <c r="AJ26" s="6">
        <v>45074</v>
      </c>
      <c r="AK26" s="1" t="s">
        <v>170</v>
      </c>
      <c r="AL26" s="1" t="s">
        <v>246</v>
      </c>
    </row>
    <row r="27" spans="1:38" ht="32.1" customHeight="1" x14ac:dyDescent="0.25">
      <c r="A27" s="4">
        <v>60</v>
      </c>
      <c r="B27" s="1" t="s">
        <v>241</v>
      </c>
      <c r="C27" s="1" t="s">
        <v>39</v>
      </c>
      <c r="D27" s="11" t="s">
        <v>247</v>
      </c>
      <c r="E27" s="10" t="s">
        <v>112</v>
      </c>
      <c r="F27" s="10" t="s">
        <v>42</v>
      </c>
      <c r="G27" s="10" t="s">
        <v>43</v>
      </c>
      <c r="H27" s="5">
        <v>3</v>
      </c>
      <c r="I27" s="5">
        <v>3</v>
      </c>
      <c r="J27" s="21">
        <f>(I27/H27)</f>
        <v>1</v>
      </c>
      <c r="K27" s="6">
        <v>45013</v>
      </c>
      <c r="L27">
        <v>13</v>
      </c>
      <c r="M27" s="1" t="s">
        <v>222</v>
      </c>
      <c r="O27"/>
      <c r="P27" s="6"/>
      <c r="Q27" s="1" t="s">
        <v>47</v>
      </c>
      <c r="R27" s="6">
        <v>45013</v>
      </c>
      <c r="S27" s="6">
        <v>45013</v>
      </c>
      <c r="T27" s="6">
        <v>45013</v>
      </c>
      <c r="U27" s="6"/>
      <c r="V27" s="24">
        <f>MIN(R27:U27)</f>
        <v>45013</v>
      </c>
      <c r="W27">
        <f>V27-K27</f>
        <v>0</v>
      </c>
      <c r="X27" s="1" t="s">
        <v>48</v>
      </c>
      <c r="Y27" s="6">
        <v>45014</v>
      </c>
      <c r="AA27" s="6"/>
      <c r="AB27"/>
      <c r="AC27"/>
      <c r="AD27" s="6">
        <v>45012</v>
      </c>
      <c r="AE27" s="6"/>
      <c r="AF27" s="4"/>
      <c r="AG27" s="6">
        <v>45010</v>
      </c>
      <c r="AH27">
        <f t="shared" si="7"/>
        <v>3</v>
      </c>
      <c r="AI27" s="6" t="s">
        <v>118</v>
      </c>
      <c r="AJ27" s="6">
        <v>45028</v>
      </c>
      <c r="AK27" s="1" t="s">
        <v>170</v>
      </c>
      <c r="AL27" s="1" t="s">
        <v>248</v>
      </c>
    </row>
    <row r="28" spans="1:38" ht="32.1" customHeight="1" x14ac:dyDescent="0.25">
      <c r="A28" s="4">
        <v>7</v>
      </c>
      <c r="B28" s="1" t="s">
        <v>77</v>
      </c>
      <c r="C28" s="1" t="s">
        <v>52</v>
      </c>
      <c r="D28" s="11" t="s">
        <v>90</v>
      </c>
      <c r="E28" s="10" t="s">
        <v>91</v>
      </c>
      <c r="F28" s="10" t="s">
        <v>92</v>
      </c>
      <c r="G28" s="10" t="s">
        <v>88</v>
      </c>
      <c r="H28" s="5" t="s">
        <v>81</v>
      </c>
      <c r="I28" s="5" t="s">
        <v>81</v>
      </c>
      <c r="J28" s="21"/>
      <c r="K28" s="6">
        <v>45022</v>
      </c>
      <c r="L28">
        <v>14</v>
      </c>
      <c r="M28" s="1" t="s">
        <v>93</v>
      </c>
      <c r="P28" s="6"/>
      <c r="Q28" s="1" t="s">
        <v>62</v>
      </c>
      <c r="R28" s="6"/>
      <c r="S28" s="6"/>
      <c r="T28" s="6"/>
      <c r="U28" s="6"/>
      <c r="V28" s="24"/>
      <c r="W28"/>
      <c r="X28" s="1" t="s">
        <v>63</v>
      </c>
      <c r="Y28" s="6">
        <v>45022</v>
      </c>
      <c r="Z28" s="1" t="s">
        <v>94</v>
      </c>
      <c r="AA28" s="6">
        <v>45022</v>
      </c>
      <c r="AB28">
        <f>AA28-Y28</f>
        <v>0</v>
      </c>
      <c r="AC28">
        <f>AA28-K28</f>
        <v>0</v>
      </c>
      <c r="AD28" s="6">
        <v>45017</v>
      </c>
      <c r="AE28" s="6">
        <v>45021</v>
      </c>
      <c r="AF28" s="4"/>
      <c r="AG28" s="6">
        <v>45013</v>
      </c>
      <c r="AH28">
        <f t="shared" si="7"/>
        <v>9</v>
      </c>
      <c r="AI28" s="6"/>
      <c r="AJ28" s="6"/>
      <c r="AK28" s="1" t="s">
        <v>55</v>
      </c>
      <c r="AL28" s="1" t="s">
        <v>95</v>
      </c>
    </row>
    <row r="29" spans="1:38" ht="32.1" customHeight="1" x14ac:dyDescent="0.25">
      <c r="A29" s="4">
        <v>61</v>
      </c>
      <c r="B29" s="1" t="s">
        <v>249</v>
      </c>
      <c r="C29" s="1" t="s">
        <v>39</v>
      </c>
      <c r="D29" s="12" t="s">
        <v>250</v>
      </c>
      <c r="F29" s="10" t="s">
        <v>79</v>
      </c>
      <c r="G29" s="10" t="s">
        <v>80</v>
      </c>
      <c r="H29" s="5">
        <v>10</v>
      </c>
      <c r="I29" s="5">
        <v>4</v>
      </c>
      <c r="J29" s="21">
        <f>(I29/H29)</f>
        <v>0.4</v>
      </c>
      <c r="K29" s="6">
        <v>45022</v>
      </c>
      <c r="L29">
        <v>14</v>
      </c>
      <c r="M29" s="1" t="s">
        <v>61</v>
      </c>
      <c r="O29"/>
      <c r="P29" s="6"/>
      <c r="Q29" s="1" t="s">
        <v>47</v>
      </c>
      <c r="R29" s="6">
        <v>45023</v>
      </c>
      <c r="S29" s="6">
        <v>45023</v>
      </c>
      <c r="T29" s="6">
        <v>45040</v>
      </c>
      <c r="U29" s="6"/>
      <c r="V29" s="24">
        <f>MIN(R29:U29)</f>
        <v>45023</v>
      </c>
      <c r="W29">
        <f>V29-K29</f>
        <v>1</v>
      </c>
      <c r="X29" s="1" t="s">
        <v>63</v>
      </c>
      <c r="Y29" s="6">
        <v>45040</v>
      </c>
      <c r="Z29" s="1" t="s">
        <v>94</v>
      </c>
      <c r="AA29" s="6">
        <v>45041</v>
      </c>
      <c r="AB29">
        <f>AA29-Y29</f>
        <v>1</v>
      </c>
      <c r="AC29">
        <f>AA29-K29</f>
        <v>19</v>
      </c>
      <c r="AD29" s="6">
        <v>45010</v>
      </c>
      <c r="AE29" s="6">
        <v>45010</v>
      </c>
      <c r="AF29" s="4">
        <f>AE29-V29</f>
        <v>-13</v>
      </c>
      <c r="AG29" s="6">
        <v>44999</v>
      </c>
      <c r="AH29">
        <f t="shared" si="7"/>
        <v>23</v>
      </c>
      <c r="AI29" s="6">
        <v>45003</v>
      </c>
      <c r="AJ29" s="6"/>
      <c r="AK29" s="1" t="s">
        <v>142</v>
      </c>
      <c r="AL29" s="1" t="s">
        <v>251</v>
      </c>
    </row>
    <row r="30" spans="1:38" ht="32.1" customHeight="1" x14ac:dyDescent="0.25">
      <c r="A30" s="4">
        <v>23</v>
      </c>
      <c r="B30" s="1" t="s">
        <v>151</v>
      </c>
      <c r="C30" s="1" t="s">
        <v>52</v>
      </c>
      <c r="D30" s="11" t="s">
        <v>152</v>
      </c>
      <c r="F30" s="10" t="s">
        <v>129</v>
      </c>
      <c r="G30" s="10" t="s">
        <v>43</v>
      </c>
      <c r="H30" s="5">
        <v>40</v>
      </c>
      <c r="I30" s="5"/>
      <c r="J30" s="21"/>
      <c r="K30" s="6">
        <v>45028</v>
      </c>
      <c r="L30">
        <v>15</v>
      </c>
      <c r="M30" s="1" t="s">
        <v>110</v>
      </c>
      <c r="P30" s="6"/>
      <c r="Q30" s="1" t="s">
        <v>153</v>
      </c>
      <c r="R30" s="6">
        <v>45029</v>
      </c>
      <c r="S30" s="6"/>
      <c r="T30" s="6"/>
      <c r="U30" s="6"/>
      <c r="V30" s="24">
        <f>MIN(R30:U30)</f>
        <v>45029</v>
      </c>
      <c r="W30">
        <f>V30-K30</f>
        <v>1</v>
      </c>
      <c r="X30" s="1" t="s">
        <v>83</v>
      </c>
      <c r="Y30" s="6">
        <v>45031</v>
      </c>
      <c r="AA30" s="6"/>
      <c r="AB30"/>
      <c r="AC30"/>
      <c r="AD30" s="6">
        <v>45027</v>
      </c>
      <c r="AE30" s="6"/>
      <c r="AF30" s="4"/>
      <c r="AG30" s="6">
        <v>45024</v>
      </c>
      <c r="AH30">
        <f t="shared" si="7"/>
        <v>4</v>
      </c>
      <c r="AI30" s="6" t="s">
        <v>118</v>
      </c>
      <c r="AJ30" s="6"/>
      <c r="AK30" s="1" t="s">
        <v>55</v>
      </c>
      <c r="AL30" s="1" t="s">
        <v>154</v>
      </c>
    </row>
    <row r="31" spans="1:38" ht="32.1" customHeight="1" x14ac:dyDescent="0.25">
      <c r="A31" s="4">
        <v>62</v>
      </c>
      <c r="B31" s="1" t="s">
        <v>252</v>
      </c>
      <c r="C31" s="1" t="s">
        <v>39</v>
      </c>
      <c r="D31" s="11" t="s">
        <v>253</v>
      </c>
      <c r="E31" s="10" t="s">
        <v>254</v>
      </c>
      <c r="F31" s="10" t="s">
        <v>87</v>
      </c>
      <c r="G31" s="10" t="s">
        <v>88</v>
      </c>
      <c r="H31" s="5">
        <v>75</v>
      </c>
      <c r="I31" s="5"/>
      <c r="J31" s="21"/>
      <c r="K31" s="6">
        <v>45028</v>
      </c>
      <c r="L31">
        <v>15</v>
      </c>
      <c r="M31" s="1" t="s">
        <v>44</v>
      </c>
      <c r="N31" s="1" t="s">
        <v>103</v>
      </c>
      <c r="O31" t="s">
        <v>255</v>
      </c>
      <c r="P31" s="6">
        <v>45028</v>
      </c>
      <c r="Q31" s="1" t="s">
        <v>47</v>
      </c>
      <c r="R31" s="6">
        <v>45028</v>
      </c>
      <c r="S31" s="6">
        <v>45028</v>
      </c>
      <c r="T31" s="6"/>
      <c r="U31" s="6"/>
      <c r="V31" s="24">
        <f>MIN(R31:U31)</f>
        <v>45028</v>
      </c>
      <c r="W31">
        <f>V31-K31</f>
        <v>0</v>
      </c>
      <c r="X31" s="1" t="s">
        <v>73</v>
      </c>
      <c r="Y31" s="6">
        <v>45033</v>
      </c>
      <c r="Z31" s="1" t="s">
        <v>64</v>
      </c>
      <c r="AA31" s="6">
        <v>45033</v>
      </c>
      <c r="AB31">
        <f>AA31-Y31</f>
        <v>0</v>
      </c>
      <c r="AC31">
        <f>AA31-K31</f>
        <v>5</v>
      </c>
      <c r="AD31" s="6">
        <v>45017</v>
      </c>
      <c r="AE31" s="6">
        <v>45026</v>
      </c>
      <c r="AF31" s="4">
        <f>AE31-V31</f>
        <v>-2</v>
      </c>
      <c r="AG31" s="6" t="s">
        <v>126</v>
      </c>
      <c r="AH31"/>
      <c r="AI31" s="6" t="s">
        <v>126</v>
      </c>
      <c r="AJ31" s="6">
        <v>45119</v>
      </c>
      <c r="AK31" s="1" t="s">
        <v>196</v>
      </c>
    </row>
    <row r="32" spans="1:38" ht="32.1" customHeight="1" x14ac:dyDescent="0.25">
      <c r="A32" s="4">
        <v>63</v>
      </c>
      <c r="B32" s="1" t="s">
        <v>57</v>
      </c>
      <c r="C32" s="1" t="s">
        <v>39</v>
      </c>
      <c r="D32" s="11" t="s">
        <v>256</v>
      </c>
      <c r="F32" s="10" t="s">
        <v>199</v>
      </c>
      <c r="G32" s="10" t="s">
        <v>200</v>
      </c>
      <c r="H32" s="5">
        <v>1</v>
      </c>
      <c r="I32" s="5">
        <v>1</v>
      </c>
      <c r="J32" s="21">
        <f>(I32/H32)</f>
        <v>1</v>
      </c>
      <c r="K32" s="6">
        <v>45028</v>
      </c>
      <c r="L32">
        <v>15</v>
      </c>
      <c r="M32" s="1" t="s">
        <v>110</v>
      </c>
      <c r="P32" s="6"/>
      <c r="Q32" s="1" t="s">
        <v>62</v>
      </c>
      <c r="R32" s="6"/>
      <c r="S32" s="6"/>
      <c r="T32" s="6"/>
      <c r="U32" s="6"/>
      <c r="V32" s="24"/>
      <c r="W32"/>
      <c r="X32" s="1" t="s">
        <v>63</v>
      </c>
      <c r="Y32" s="6">
        <v>45028</v>
      </c>
      <c r="Z32" s="1" t="s">
        <v>94</v>
      </c>
      <c r="AA32" s="6">
        <v>45028</v>
      </c>
      <c r="AB32">
        <f>AA32-Y32</f>
        <v>0</v>
      </c>
      <c r="AC32">
        <f>AA32-K32</f>
        <v>0</v>
      </c>
      <c r="AD32" s="6">
        <v>45026</v>
      </c>
      <c r="AE32" s="6">
        <v>45026</v>
      </c>
      <c r="AF32" s="4"/>
      <c r="AG32" s="6">
        <v>45018</v>
      </c>
      <c r="AH32">
        <f>K32-AG32</f>
        <v>10</v>
      </c>
      <c r="AI32" s="6" t="s">
        <v>118</v>
      </c>
      <c r="AJ32" s="6"/>
      <c r="AK32" s="1" t="s">
        <v>175</v>
      </c>
      <c r="AL32" s="1" t="s">
        <v>257</v>
      </c>
    </row>
    <row r="33" spans="1:38" ht="32.1" customHeight="1" x14ac:dyDescent="0.25">
      <c r="A33" s="4">
        <v>64</v>
      </c>
      <c r="B33" s="1" t="s">
        <v>258</v>
      </c>
      <c r="C33" s="1" t="s">
        <v>39</v>
      </c>
      <c r="D33" s="11" t="s">
        <v>259</v>
      </c>
      <c r="F33" s="10" t="s">
        <v>42</v>
      </c>
      <c r="G33" s="10" t="s">
        <v>43</v>
      </c>
      <c r="H33" s="5">
        <v>1</v>
      </c>
      <c r="I33" s="5">
        <v>0</v>
      </c>
      <c r="J33" s="21"/>
      <c r="K33" s="6">
        <v>45029</v>
      </c>
      <c r="L33">
        <v>15</v>
      </c>
      <c r="M33" s="1" t="s">
        <v>222</v>
      </c>
      <c r="O33"/>
      <c r="P33" s="6"/>
      <c r="Q33" s="1" t="s">
        <v>47</v>
      </c>
      <c r="R33" s="6"/>
      <c r="S33" s="6">
        <v>45029</v>
      </c>
      <c r="T33" s="6"/>
      <c r="U33" s="6"/>
      <c r="V33" s="24">
        <f t="shared" ref="V33:V39" si="8">MIN(R33:U33)</f>
        <v>45029</v>
      </c>
      <c r="W33">
        <f t="shared" ref="W33:W39" si="9">V33-K33</f>
        <v>0</v>
      </c>
      <c r="X33" s="1" t="s">
        <v>48</v>
      </c>
      <c r="Y33" s="6">
        <v>45034</v>
      </c>
      <c r="AA33" s="6"/>
      <c r="AB33"/>
      <c r="AC33"/>
      <c r="AD33" s="6">
        <v>45026</v>
      </c>
      <c r="AE33" s="6">
        <v>45027</v>
      </c>
      <c r="AF33" s="4">
        <f>AE33-V33</f>
        <v>-2</v>
      </c>
      <c r="AG33" s="6">
        <v>45023</v>
      </c>
      <c r="AH33">
        <f>K33-AG33</f>
        <v>6</v>
      </c>
      <c r="AI33" s="6" t="s">
        <v>65</v>
      </c>
      <c r="AJ33" s="6">
        <v>45044</v>
      </c>
      <c r="AK33" s="1" t="s">
        <v>142</v>
      </c>
      <c r="AL33" s="1" t="s">
        <v>260</v>
      </c>
    </row>
    <row r="34" spans="1:38" ht="32.1" customHeight="1" x14ac:dyDescent="0.25">
      <c r="A34" s="4">
        <v>65</v>
      </c>
      <c r="B34" s="1" t="s">
        <v>198</v>
      </c>
      <c r="C34" s="1" t="s">
        <v>39</v>
      </c>
      <c r="D34" s="11" t="s">
        <v>261</v>
      </c>
      <c r="F34" s="10" t="s">
        <v>59</v>
      </c>
      <c r="G34" s="10" t="s">
        <v>60</v>
      </c>
      <c r="H34" s="5">
        <v>101</v>
      </c>
      <c r="I34" s="5"/>
      <c r="J34" s="21"/>
      <c r="K34" s="6">
        <v>45030</v>
      </c>
      <c r="L34">
        <v>15</v>
      </c>
      <c r="M34" s="1" t="s">
        <v>61</v>
      </c>
      <c r="O34"/>
      <c r="P34" s="6"/>
      <c r="Q34" s="1" t="s">
        <v>47</v>
      </c>
      <c r="R34" s="6">
        <v>45030</v>
      </c>
      <c r="S34" s="6"/>
      <c r="T34" s="6">
        <v>45051</v>
      </c>
      <c r="U34" s="6"/>
      <c r="V34" s="24">
        <f t="shared" si="8"/>
        <v>45030</v>
      </c>
      <c r="W34">
        <f t="shared" si="9"/>
        <v>0</v>
      </c>
      <c r="X34" s="1" t="s">
        <v>48</v>
      </c>
      <c r="Y34" s="6">
        <v>45052</v>
      </c>
      <c r="AA34" s="6"/>
      <c r="AB34"/>
      <c r="AC34"/>
      <c r="AD34" s="6">
        <v>45025</v>
      </c>
      <c r="AE34" s="6">
        <v>45027</v>
      </c>
      <c r="AF34" s="4">
        <f>AE34-V34</f>
        <v>-3</v>
      </c>
      <c r="AG34" s="6">
        <v>45013</v>
      </c>
      <c r="AH34">
        <f>K34-AG34</f>
        <v>17</v>
      </c>
      <c r="AI34" s="6">
        <v>45027</v>
      </c>
      <c r="AJ34" s="6">
        <v>45052</v>
      </c>
      <c r="AK34" s="1" t="s">
        <v>175</v>
      </c>
      <c r="AL34" s="1" t="s">
        <v>262</v>
      </c>
    </row>
    <row r="35" spans="1:38" ht="32.1" customHeight="1" x14ac:dyDescent="0.25">
      <c r="A35" s="4">
        <v>8</v>
      </c>
      <c r="B35" s="1" t="s">
        <v>96</v>
      </c>
      <c r="C35" s="1" t="s">
        <v>39</v>
      </c>
      <c r="D35" s="11" t="s">
        <v>97</v>
      </c>
      <c r="E35" s="10" t="s">
        <v>41</v>
      </c>
      <c r="F35" s="10" t="s">
        <v>42</v>
      </c>
      <c r="G35" s="10" t="s">
        <v>43</v>
      </c>
      <c r="H35" s="5">
        <v>12</v>
      </c>
      <c r="I35" s="5">
        <v>1</v>
      </c>
      <c r="J35" s="22">
        <f>(I35/H35)</f>
        <v>8.3333333333333329E-2</v>
      </c>
      <c r="K35" s="6">
        <v>45033</v>
      </c>
      <c r="L35">
        <v>16</v>
      </c>
      <c r="M35" s="1" t="s">
        <v>98</v>
      </c>
      <c r="N35" s="1" t="s">
        <v>45</v>
      </c>
      <c r="O35" t="s">
        <v>99</v>
      </c>
      <c r="P35" s="6">
        <v>45031</v>
      </c>
      <c r="Q35" s="1" t="s">
        <v>47</v>
      </c>
      <c r="R35" s="6">
        <v>45033</v>
      </c>
      <c r="S35" s="6">
        <v>45033</v>
      </c>
      <c r="T35" s="6"/>
      <c r="U35" s="6"/>
      <c r="V35" s="24">
        <f t="shared" si="8"/>
        <v>45033</v>
      </c>
      <c r="W35">
        <f t="shared" si="9"/>
        <v>0</v>
      </c>
      <c r="X35" s="1" t="s">
        <v>48</v>
      </c>
      <c r="Y35" s="6">
        <v>45036</v>
      </c>
      <c r="Z35"/>
      <c r="AA35" s="6"/>
      <c r="AB35"/>
      <c r="AC35"/>
      <c r="AD35" s="6">
        <v>45035</v>
      </c>
      <c r="AE35" s="6"/>
      <c r="AF35" s="4"/>
      <c r="AG35" s="6">
        <v>45022</v>
      </c>
      <c r="AH35">
        <f>K35-AG35</f>
        <v>11</v>
      </c>
      <c r="AI35" s="6">
        <v>45031</v>
      </c>
      <c r="AJ35" s="6">
        <v>45036</v>
      </c>
      <c r="AK35" s="1" t="s">
        <v>100</v>
      </c>
      <c r="AL35" s="1" t="s">
        <v>101</v>
      </c>
    </row>
    <row r="36" spans="1:38" ht="32.1" customHeight="1" x14ac:dyDescent="0.25">
      <c r="A36" s="4">
        <v>24</v>
      </c>
      <c r="B36" s="1" t="s">
        <v>155</v>
      </c>
      <c r="C36" s="1" t="s">
        <v>52</v>
      </c>
      <c r="D36" s="11" t="s">
        <v>156</v>
      </c>
      <c r="G36" s="10" t="s">
        <v>117</v>
      </c>
      <c r="H36" s="5"/>
      <c r="I36" s="5"/>
      <c r="J36" s="21"/>
      <c r="K36" s="6">
        <v>45038</v>
      </c>
      <c r="L36">
        <v>16</v>
      </c>
      <c r="M36" s="1" t="s">
        <v>157</v>
      </c>
      <c r="O36"/>
      <c r="P36" s="6"/>
      <c r="Q36" s="1" t="s">
        <v>47</v>
      </c>
      <c r="R36" s="6"/>
      <c r="S36" s="6"/>
      <c r="T36" s="6">
        <v>45044</v>
      </c>
      <c r="U36" s="6"/>
      <c r="V36" s="24">
        <f t="shared" si="8"/>
        <v>45044</v>
      </c>
      <c r="W36">
        <f t="shared" si="9"/>
        <v>6</v>
      </c>
      <c r="X36" s="1" t="s">
        <v>73</v>
      </c>
      <c r="Y36" s="6">
        <v>45044</v>
      </c>
      <c r="Z36" s="1" t="s">
        <v>64</v>
      </c>
      <c r="AA36" s="6">
        <v>45044</v>
      </c>
      <c r="AB36">
        <f>AA36-Y36</f>
        <v>0</v>
      </c>
      <c r="AC36">
        <f>AA36-K36</f>
        <v>6</v>
      </c>
      <c r="AD36" s="6">
        <v>45031</v>
      </c>
      <c r="AE36" s="6">
        <v>45046</v>
      </c>
      <c r="AF36" s="4">
        <f>AE36-V36</f>
        <v>2</v>
      </c>
      <c r="AG36" s="6"/>
      <c r="AH36"/>
      <c r="AI36" s="6">
        <v>45033</v>
      </c>
      <c r="AJ36" s="6">
        <v>45046</v>
      </c>
      <c r="AK36" s="1" t="s">
        <v>55</v>
      </c>
    </row>
    <row r="37" spans="1:38" ht="32.1" customHeight="1" x14ac:dyDescent="0.25">
      <c r="A37" s="4">
        <v>29</v>
      </c>
      <c r="B37" s="1" t="s">
        <v>137</v>
      </c>
      <c r="C37" s="1" t="s">
        <v>39</v>
      </c>
      <c r="D37" s="11" t="s">
        <v>168</v>
      </c>
      <c r="E37" s="10" t="s">
        <v>122</v>
      </c>
      <c r="F37" s="10" t="s">
        <v>123</v>
      </c>
      <c r="G37" s="10" t="s">
        <v>80</v>
      </c>
      <c r="H37" s="5">
        <v>361944</v>
      </c>
      <c r="I37" s="5">
        <v>858</v>
      </c>
      <c r="J37" s="22">
        <f>(I37/H37)</f>
        <v>2.3705324580598104E-3</v>
      </c>
      <c r="K37" s="6">
        <v>45044</v>
      </c>
      <c r="L37">
        <v>17</v>
      </c>
      <c r="M37" s="1" t="s">
        <v>44</v>
      </c>
      <c r="N37" s="1" t="s">
        <v>103</v>
      </c>
      <c r="O37" t="s">
        <v>169</v>
      </c>
      <c r="P37" s="6">
        <v>45043</v>
      </c>
      <c r="Q37" s="1" t="s">
        <v>47</v>
      </c>
      <c r="R37" s="6"/>
      <c r="S37" s="6"/>
      <c r="T37" s="6"/>
      <c r="U37" s="6">
        <v>45044</v>
      </c>
      <c r="V37" s="24">
        <f t="shared" si="8"/>
        <v>45044</v>
      </c>
      <c r="W37">
        <f t="shared" si="9"/>
        <v>0</v>
      </c>
      <c r="X37" s="1" t="s">
        <v>48</v>
      </c>
      <c r="Y37" s="6">
        <v>45045</v>
      </c>
      <c r="AA37" s="6"/>
      <c r="AB37"/>
      <c r="AC37"/>
      <c r="AD37" s="6">
        <v>45044</v>
      </c>
      <c r="AE37" s="6"/>
      <c r="AF37" s="4"/>
      <c r="AG37" s="6" t="s">
        <v>126</v>
      </c>
      <c r="AH37"/>
      <c r="AI37" s="6" t="s">
        <v>126</v>
      </c>
      <c r="AJ37" s="6">
        <v>45046</v>
      </c>
      <c r="AK37" s="1" t="s">
        <v>170</v>
      </c>
      <c r="AL37" s="1" t="s">
        <v>171</v>
      </c>
    </row>
    <row r="38" spans="1:38" ht="32.1" customHeight="1" x14ac:dyDescent="0.25">
      <c r="A38" s="4">
        <v>66</v>
      </c>
      <c r="B38" s="1" t="s">
        <v>263</v>
      </c>
      <c r="C38" s="1" t="s">
        <v>39</v>
      </c>
      <c r="D38" s="11" t="s">
        <v>264</v>
      </c>
      <c r="E38" s="10" t="s">
        <v>122</v>
      </c>
      <c r="F38" s="10" t="s">
        <v>123</v>
      </c>
      <c r="G38" s="10" t="s">
        <v>80</v>
      </c>
      <c r="H38" s="5">
        <v>1</v>
      </c>
      <c r="I38" s="5">
        <v>1</v>
      </c>
      <c r="J38" s="21">
        <f>(I38/H38)</f>
        <v>1</v>
      </c>
      <c r="K38" s="6">
        <v>45046</v>
      </c>
      <c r="L38">
        <v>18</v>
      </c>
      <c r="M38" s="1" t="s">
        <v>222</v>
      </c>
      <c r="O38"/>
      <c r="P38" s="6"/>
      <c r="Q38" s="1" t="s">
        <v>47</v>
      </c>
      <c r="R38" s="6">
        <v>45046</v>
      </c>
      <c r="S38" s="6">
        <v>45046</v>
      </c>
      <c r="T38" s="6">
        <v>45046</v>
      </c>
      <c r="U38" s="6">
        <v>45046</v>
      </c>
      <c r="V38" s="24">
        <f t="shared" si="8"/>
        <v>45046</v>
      </c>
      <c r="W38">
        <f t="shared" si="9"/>
        <v>0</v>
      </c>
      <c r="X38" s="1" t="s">
        <v>48</v>
      </c>
      <c r="Y38" s="6">
        <v>45048</v>
      </c>
      <c r="AA38" s="6"/>
      <c r="AB38"/>
      <c r="AC38"/>
      <c r="AD38" s="6">
        <v>45046</v>
      </c>
      <c r="AE38" s="6">
        <v>45046</v>
      </c>
      <c r="AF38" s="4">
        <f>AE38-V38</f>
        <v>0</v>
      </c>
      <c r="AG38" s="6">
        <v>45045</v>
      </c>
      <c r="AH38">
        <f>K38-AG38</f>
        <v>1</v>
      </c>
      <c r="AI38" s="6" t="s">
        <v>118</v>
      </c>
      <c r="AJ38" s="6">
        <v>45062</v>
      </c>
      <c r="AK38" s="1" t="s">
        <v>175</v>
      </c>
      <c r="AL38" s="1" t="s">
        <v>265</v>
      </c>
    </row>
    <row r="39" spans="1:38" ht="32.1" customHeight="1" x14ac:dyDescent="0.25">
      <c r="A39" s="4">
        <v>9</v>
      </c>
      <c r="B39" s="1" t="s">
        <v>102</v>
      </c>
      <c r="C39" s="1" t="s">
        <v>68</v>
      </c>
      <c r="D39" s="11" t="s">
        <v>358</v>
      </c>
      <c r="G39" s="10" t="s">
        <v>43</v>
      </c>
      <c r="H39" s="5"/>
      <c r="I39" s="5">
        <v>60</v>
      </c>
      <c r="J39" s="21"/>
      <c r="K39" s="6">
        <v>45048</v>
      </c>
      <c r="L39">
        <v>18</v>
      </c>
      <c r="M39" s="1" t="s">
        <v>98</v>
      </c>
      <c r="N39" s="1" t="s">
        <v>103</v>
      </c>
      <c r="O39" t="s">
        <v>359</v>
      </c>
      <c r="P39" s="6">
        <v>45048</v>
      </c>
      <c r="Q39" s="1" t="s">
        <v>47</v>
      </c>
      <c r="R39" s="6"/>
      <c r="S39" s="6">
        <v>45048</v>
      </c>
      <c r="T39" s="6">
        <v>45048</v>
      </c>
      <c r="U39" s="6"/>
      <c r="V39" s="24">
        <f t="shared" si="8"/>
        <v>45048</v>
      </c>
      <c r="W39">
        <f t="shared" si="9"/>
        <v>0</v>
      </c>
      <c r="X39" s="1" t="s">
        <v>73</v>
      </c>
      <c r="Y39" s="6">
        <v>45049</v>
      </c>
      <c r="Z39" t="s">
        <v>74</v>
      </c>
      <c r="AA39" s="6">
        <v>45050</v>
      </c>
      <c r="AB39">
        <f>AA39-Y39</f>
        <v>1</v>
      </c>
      <c r="AC39">
        <f>AA39-K39</f>
        <v>2</v>
      </c>
      <c r="AD39" s="6">
        <v>45048</v>
      </c>
      <c r="AE39" s="6">
        <v>45048</v>
      </c>
      <c r="AF39" s="4">
        <f>AE39-V39</f>
        <v>0</v>
      </c>
      <c r="AG39" s="6"/>
      <c r="AH39"/>
      <c r="AI39" s="6"/>
      <c r="AJ39" s="6">
        <v>45092</v>
      </c>
      <c r="AK39" s="1" t="s">
        <v>75</v>
      </c>
    </row>
    <row r="40" spans="1:38" ht="32.1" customHeight="1" x14ac:dyDescent="0.25">
      <c r="A40" s="4">
        <v>67</v>
      </c>
      <c r="B40" s="1" t="s">
        <v>217</v>
      </c>
      <c r="C40" s="1" t="s">
        <v>68</v>
      </c>
      <c r="D40" s="11" t="s">
        <v>266</v>
      </c>
      <c r="G40" s="10" t="s">
        <v>267</v>
      </c>
      <c r="H40" s="5">
        <v>4500</v>
      </c>
      <c r="I40" s="5">
        <v>130</v>
      </c>
      <c r="J40" s="21">
        <f>(I40/H40)</f>
        <v>2.8888888888888888E-2</v>
      </c>
      <c r="K40" s="6">
        <v>45049</v>
      </c>
      <c r="L40">
        <v>18</v>
      </c>
      <c r="M40" s="1" t="s">
        <v>159</v>
      </c>
      <c r="O40"/>
      <c r="P40" s="6"/>
      <c r="Q40" s="1" t="s">
        <v>62</v>
      </c>
      <c r="R40" s="6"/>
      <c r="S40" s="6"/>
      <c r="T40" s="6"/>
      <c r="U40" s="6"/>
      <c r="V40" s="24"/>
      <c r="W40"/>
      <c r="X40" s="1" t="s">
        <v>73</v>
      </c>
      <c r="Y40" s="6">
        <v>45049</v>
      </c>
      <c r="Z40" s="1" t="s">
        <v>64</v>
      </c>
      <c r="AA40" s="6">
        <v>45051</v>
      </c>
      <c r="AB40">
        <f>AA40-Y40</f>
        <v>2</v>
      </c>
      <c r="AC40">
        <f>AA40-K40</f>
        <v>2</v>
      </c>
      <c r="AD40" s="6">
        <v>45050</v>
      </c>
      <c r="AE40" s="6">
        <v>45050</v>
      </c>
      <c r="AF40" s="4"/>
      <c r="AG40" s="6"/>
      <c r="AH40"/>
      <c r="AI40" s="6"/>
      <c r="AJ40" s="6">
        <v>45066</v>
      </c>
      <c r="AK40" s="1" t="s">
        <v>75</v>
      </c>
    </row>
    <row r="41" spans="1:38" ht="32.1" customHeight="1" x14ac:dyDescent="0.25">
      <c r="A41" s="4">
        <v>68</v>
      </c>
      <c r="B41" s="1" t="s">
        <v>217</v>
      </c>
      <c r="C41" s="1" t="s">
        <v>68</v>
      </c>
      <c r="D41" s="12" t="s">
        <v>268</v>
      </c>
      <c r="G41" s="10" t="s">
        <v>60</v>
      </c>
      <c r="H41" s="5"/>
      <c r="I41" s="5">
        <v>72</v>
      </c>
      <c r="J41" s="21"/>
      <c r="K41" s="6">
        <v>45051</v>
      </c>
      <c r="L41">
        <v>18</v>
      </c>
      <c r="M41" s="1" t="s">
        <v>179</v>
      </c>
      <c r="O41"/>
      <c r="P41" s="6"/>
      <c r="Q41" s="1" t="s">
        <v>47</v>
      </c>
      <c r="R41" s="6">
        <v>45051</v>
      </c>
      <c r="S41" s="6">
        <v>45051</v>
      </c>
      <c r="T41" s="6">
        <v>45051</v>
      </c>
      <c r="U41" s="6"/>
      <c r="V41" s="24">
        <f>MIN(R41:U41)</f>
        <v>45051</v>
      </c>
      <c r="W41">
        <f>V41-K41</f>
        <v>0</v>
      </c>
      <c r="X41" s="1" t="s">
        <v>83</v>
      </c>
      <c r="Y41" s="6">
        <v>45052</v>
      </c>
      <c r="AA41" s="6"/>
      <c r="AB41"/>
      <c r="AC41"/>
      <c r="AD41" s="6">
        <v>45051</v>
      </c>
      <c r="AE41" s="6">
        <v>45051</v>
      </c>
      <c r="AF41" s="4">
        <f>AE41-V41</f>
        <v>0</v>
      </c>
      <c r="AG41" s="6"/>
      <c r="AH41"/>
      <c r="AI41" s="6"/>
      <c r="AJ41" s="6"/>
      <c r="AK41" s="1" t="s">
        <v>75</v>
      </c>
      <c r="AL41" s="1" t="s">
        <v>269</v>
      </c>
    </row>
    <row r="42" spans="1:38" ht="32.1" customHeight="1" x14ac:dyDescent="0.25">
      <c r="A42" s="4">
        <v>10</v>
      </c>
      <c r="B42" s="1" t="s">
        <v>104</v>
      </c>
      <c r="C42" s="1" t="s">
        <v>68</v>
      </c>
      <c r="D42" s="11" t="s">
        <v>105</v>
      </c>
      <c r="G42" s="10" t="s">
        <v>43</v>
      </c>
      <c r="H42" s="5">
        <v>21000</v>
      </c>
      <c r="I42" s="5">
        <v>27</v>
      </c>
      <c r="J42" s="21">
        <f>(I42/H42)</f>
        <v>1.2857142857142856E-3</v>
      </c>
      <c r="K42" s="6">
        <v>45056</v>
      </c>
      <c r="L42">
        <v>19</v>
      </c>
      <c r="M42" s="1" t="s">
        <v>98</v>
      </c>
      <c r="N42" s="1" t="s">
        <v>106</v>
      </c>
      <c r="O42" t="s">
        <v>107</v>
      </c>
      <c r="P42" s="6">
        <v>45056</v>
      </c>
      <c r="Q42" s="1" t="s">
        <v>47</v>
      </c>
      <c r="R42" s="6">
        <v>45056</v>
      </c>
      <c r="S42" s="6"/>
      <c r="T42" s="6">
        <v>45057</v>
      </c>
      <c r="U42" s="6"/>
      <c r="V42" s="24">
        <f>MIN(R42:U42)</f>
        <v>45056</v>
      </c>
      <c r="W42">
        <f>V42-K42</f>
        <v>0</v>
      </c>
      <c r="X42" s="1" t="s">
        <v>73</v>
      </c>
      <c r="Y42" s="6">
        <v>45057</v>
      </c>
      <c r="Z42" t="s">
        <v>64</v>
      </c>
      <c r="AA42" s="6">
        <v>45057</v>
      </c>
      <c r="AB42">
        <f>AA42-Y42</f>
        <v>0</v>
      </c>
      <c r="AC42">
        <f>AA42-K42</f>
        <v>1</v>
      </c>
      <c r="AD42" s="6">
        <v>45056</v>
      </c>
      <c r="AE42" s="6">
        <v>45056</v>
      </c>
      <c r="AF42" s="4">
        <f>AE42-V42</f>
        <v>0</v>
      </c>
      <c r="AG42" s="6"/>
      <c r="AH42"/>
      <c r="AI42" s="6"/>
      <c r="AJ42" s="6">
        <v>45092</v>
      </c>
      <c r="AK42" s="1" t="s">
        <v>75</v>
      </c>
    </row>
    <row r="43" spans="1:38" ht="32.1" customHeight="1" x14ac:dyDescent="0.25">
      <c r="A43" s="4">
        <v>11</v>
      </c>
      <c r="B43" s="1" t="s">
        <v>108</v>
      </c>
      <c r="C43" s="1" t="s">
        <v>39</v>
      </c>
      <c r="D43" s="11" t="s">
        <v>109</v>
      </c>
      <c r="G43" s="10" t="s">
        <v>43</v>
      </c>
      <c r="H43" s="5">
        <v>52</v>
      </c>
      <c r="I43" s="5">
        <v>2</v>
      </c>
      <c r="J43" s="21">
        <f>(I43/H43)</f>
        <v>3.8461538461538464E-2</v>
      </c>
      <c r="K43" s="6">
        <v>45060</v>
      </c>
      <c r="L43">
        <v>20</v>
      </c>
      <c r="M43" s="1" t="s">
        <v>110</v>
      </c>
      <c r="O43"/>
      <c r="P43" s="6"/>
      <c r="Q43" s="1" t="s">
        <v>47</v>
      </c>
      <c r="R43" s="6">
        <v>45060</v>
      </c>
      <c r="S43" s="6">
        <v>45060</v>
      </c>
      <c r="T43" s="6"/>
      <c r="U43" s="6"/>
      <c r="V43" s="24">
        <f>MIN(R43:U43)</f>
        <v>45060</v>
      </c>
      <c r="W43">
        <f>V43-K43</f>
        <v>0</v>
      </c>
      <c r="X43" s="1" t="s">
        <v>73</v>
      </c>
      <c r="Y43" s="6">
        <v>45061</v>
      </c>
      <c r="Z43" s="1" t="s">
        <v>94</v>
      </c>
      <c r="AA43" s="6">
        <v>45063</v>
      </c>
      <c r="AB43">
        <f>AA43-Y43</f>
        <v>2</v>
      </c>
      <c r="AC43">
        <f>AA43-K43</f>
        <v>3</v>
      </c>
      <c r="AD43" s="6">
        <v>45060</v>
      </c>
      <c r="AE43" s="6">
        <v>45060</v>
      </c>
      <c r="AF43" s="4">
        <f>AE43-V43</f>
        <v>0</v>
      </c>
      <c r="AG43" s="6">
        <v>45057</v>
      </c>
      <c r="AH43">
        <f>K43-AG43</f>
        <v>3</v>
      </c>
      <c r="AI43" s="6">
        <v>45061</v>
      </c>
      <c r="AJ43" s="6">
        <v>45099</v>
      </c>
      <c r="AK43" s="1" t="s">
        <v>49</v>
      </c>
    </row>
    <row r="44" spans="1:38" ht="32.1" customHeight="1" x14ac:dyDescent="0.25">
      <c r="A44" s="4">
        <v>69</v>
      </c>
      <c r="B44" s="1" t="s">
        <v>224</v>
      </c>
      <c r="C44" s="1" t="s">
        <v>39</v>
      </c>
      <c r="D44" s="11" t="s">
        <v>270</v>
      </c>
      <c r="E44" s="10" t="s">
        <v>78</v>
      </c>
      <c r="F44" s="10" t="s">
        <v>79</v>
      </c>
      <c r="G44" s="10" t="s">
        <v>80</v>
      </c>
      <c r="H44" s="5">
        <v>1</v>
      </c>
      <c r="I44" s="5">
        <v>1</v>
      </c>
      <c r="J44" s="21">
        <f>(I44/H44)</f>
        <v>1</v>
      </c>
      <c r="K44" s="6">
        <v>45063</v>
      </c>
      <c r="L44">
        <v>20</v>
      </c>
      <c r="M44" s="1" t="s">
        <v>209</v>
      </c>
      <c r="O44"/>
      <c r="P44" s="6"/>
      <c r="Q44" s="1" t="s">
        <v>47</v>
      </c>
      <c r="R44" s="6">
        <v>45063</v>
      </c>
      <c r="S44" s="6"/>
      <c r="T44" s="6">
        <v>45063</v>
      </c>
      <c r="U44" s="6"/>
      <c r="V44" s="24">
        <f>MIN(R44:U44)</f>
        <v>45063</v>
      </c>
      <c r="W44">
        <f>V44-K44</f>
        <v>0</v>
      </c>
      <c r="X44" s="1" t="s">
        <v>48</v>
      </c>
      <c r="Y44" s="6">
        <v>45064</v>
      </c>
      <c r="AA44" s="6"/>
      <c r="AB44"/>
      <c r="AC44"/>
      <c r="AD44" s="6">
        <v>45061</v>
      </c>
      <c r="AE44" s="6">
        <v>45061</v>
      </c>
      <c r="AF44" s="4">
        <f>AE44-V44</f>
        <v>-2</v>
      </c>
      <c r="AG44" s="6">
        <v>45056</v>
      </c>
      <c r="AH44">
        <f>K44-AG44</f>
        <v>7</v>
      </c>
      <c r="AI44" s="6">
        <v>45062</v>
      </c>
      <c r="AJ44" s="6">
        <v>45075</v>
      </c>
      <c r="AK44" s="1" t="s">
        <v>55</v>
      </c>
      <c r="AL44" s="1" t="s">
        <v>271</v>
      </c>
    </row>
    <row r="45" spans="1:38" ht="32.1" customHeight="1" x14ac:dyDescent="0.25">
      <c r="A45" s="4">
        <v>12</v>
      </c>
      <c r="B45" s="1" t="s">
        <v>77</v>
      </c>
      <c r="C45" s="1" t="s">
        <v>39</v>
      </c>
      <c r="D45" s="11" t="s">
        <v>111</v>
      </c>
      <c r="E45" s="10" t="s">
        <v>112</v>
      </c>
      <c r="F45" s="10" t="s">
        <v>42</v>
      </c>
      <c r="G45" s="10" t="s">
        <v>43</v>
      </c>
      <c r="H45" s="5">
        <v>60</v>
      </c>
      <c r="I45" s="5">
        <v>0</v>
      </c>
      <c r="J45" s="21"/>
      <c r="K45" s="6">
        <v>45075</v>
      </c>
      <c r="L45">
        <v>22</v>
      </c>
      <c r="M45" s="1" t="s">
        <v>93</v>
      </c>
      <c r="O45"/>
      <c r="P45" s="6"/>
      <c r="Q45" s="1" t="s">
        <v>47</v>
      </c>
      <c r="R45" s="6">
        <v>45075</v>
      </c>
      <c r="S45" s="6"/>
      <c r="T45" s="6"/>
      <c r="U45" s="6"/>
      <c r="V45" s="24">
        <f>MIN(R45:U45)</f>
        <v>45075</v>
      </c>
      <c r="W45">
        <f>V45-K45</f>
        <v>0</v>
      </c>
      <c r="X45" s="1" t="s">
        <v>73</v>
      </c>
      <c r="Y45" s="6">
        <v>45077</v>
      </c>
      <c r="Z45" s="1" t="s">
        <v>64</v>
      </c>
      <c r="AA45" s="6">
        <v>45078</v>
      </c>
      <c r="AB45">
        <f>AA45-Y45</f>
        <v>1</v>
      </c>
      <c r="AC45">
        <f>AA45-K45</f>
        <v>3</v>
      </c>
      <c r="AD45" s="6">
        <v>45073</v>
      </c>
      <c r="AE45" s="6">
        <v>45073</v>
      </c>
      <c r="AF45" s="4">
        <f>AE45-V45</f>
        <v>-2</v>
      </c>
      <c r="AG45" s="6">
        <v>45064</v>
      </c>
      <c r="AH45">
        <f>K45-AG45</f>
        <v>11</v>
      </c>
      <c r="AI45" s="6" t="s">
        <v>65</v>
      </c>
      <c r="AJ45" s="6">
        <v>45109</v>
      </c>
      <c r="AK45" s="1" t="s">
        <v>55</v>
      </c>
      <c r="AL45" s="1" t="s">
        <v>113</v>
      </c>
    </row>
    <row r="46" spans="1:38" ht="32.1" customHeight="1" x14ac:dyDescent="0.25">
      <c r="A46" s="4">
        <v>25</v>
      </c>
      <c r="B46" s="1" t="s">
        <v>158</v>
      </c>
      <c r="C46" s="1" t="s">
        <v>68</v>
      </c>
      <c r="D46" s="11" t="s">
        <v>366</v>
      </c>
      <c r="G46" s="10" t="s">
        <v>60</v>
      </c>
      <c r="H46" s="5"/>
      <c r="I46" s="5">
        <v>20</v>
      </c>
      <c r="J46" s="21"/>
      <c r="K46" s="6">
        <v>45079</v>
      </c>
      <c r="L46">
        <v>22</v>
      </c>
      <c r="M46" s="1" t="s">
        <v>159</v>
      </c>
      <c r="P46" s="6"/>
      <c r="Q46" s="1" t="s">
        <v>62</v>
      </c>
      <c r="R46" s="6"/>
      <c r="S46" s="6"/>
      <c r="T46" s="6"/>
      <c r="U46" s="6"/>
      <c r="V46" s="24"/>
      <c r="W46"/>
      <c r="X46" s="1" t="s">
        <v>73</v>
      </c>
      <c r="Y46" s="6">
        <v>45079</v>
      </c>
      <c r="Z46" s="1" t="s">
        <v>94</v>
      </c>
      <c r="AA46" s="6">
        <v>45080</v>
      </c>
      <c r="AB46">
        <f>AA46-Y46</f>
        <v>1</v>
      </c>
      <c r="AC46">
        <f>AA46-K46</f>
        <v>1</v>
      </c>
      <c r="AD46" s="6"/>
      <c r="AE46" s="6">
        <v>45082</v>
      </c>
      <c r="AF46" s="4"/>
      <c r="AG46" s="6"/>
      <c r="AH46"/>
      <c r="AI46" s="6"/>
      <c r="AJ46" s="6">
        <v>45090</v>
      </c>
      <c r="AK46" s="1" t="s">
        <v>75</v>
      </c>
    </row>
    <row r="47" spans="1:38" ht="32.1" customHeight="1" x14ac:dyDescent="0.25">
      <c r="A47" s="4">
        <v>13</v>
      </c>
      <c r="B47" s="1" t="s">
        <v>114</v>
      </c>
      <c r="C47" s="1" t="s">
        <v>39</v>
      </c>
      <c r="D47" s="11" t="s">
        <v>360</v>
      </c>
      <c r="E47" s="10" t="s">
        <v>115</v>
      </c>
      <c r="F47" s="10" t="s">
        <v>116</v>
      </c>
      <c r="G47" s="10" t="s">
        <v>117</v>
      </c>
      <c r="H47" s="5">
        <v>3</v>
      </c>
      <c r="I47" s="5">
        <v>3</v>
      </c>
      <c r="J47" s="21">
        <f>(I47/H47)</f>
        <v>1</v>
      </c>
      <c r="K47" s="6">
        <v>45090</v>
      </c>
      <c r="L47">
        <v>24</v>
      </c>
      <c r="M47" s="1" t="s">
        <v>61</v>
      </c>
      <c r="O47"/>
      <c r="P47" s="6"/>
      <c r="Q47" s="1" t="s">
        <v>47</v>
      </c>
      <c r="R47" s="6">
        <v>45090</v>
      </c>
      <c r="S47" s="6">
        <v>45091</v>
      </c>
      <c r="T47" s="6">
        <v>45091</v>
      </c>
      <c r="U47" s="6"/>
      <c r="V47" s="24">
        <f t="shared" ref="V47:V53" si="10">MIN(R47:U47)</f>
        <v>45090</v>
      </c>
      <c r="W47">
        <f t="shared" ref="W47:W53" si="11">V47-K47</f>
        <v>0</v>
      </c>
      <c r="X47" s="1" t="s">
        <v>83</v>
      </c>
      <c r="Y47" s="6">
        <v>45093</v>
      </c>
      <c r="AA47" s="6"/>
      <c r="AB47"/>
      <c r="AC47"/>
      <c r="AD47" s="6"/>
      <c r="AE47" s="6"/>
      <c r="AF47" s="4"/>
      <c r="AG47" s="6" t="s">
        <v>118</v>
      </c>
      <c r="AH47"/>
      <c r="AI47" s="6" t="s">
        <v>118</v>
      </c>
      <c r="AJ47" s="6"/>
      <c r="AK47" s="1" t="s">
        <v>55</v>
      </c>
      <c r="AL47" s="1" t="s">
        <v>119</v>
      </c>
    </row>
    <row r="48" spans="1:38" ht="32.1" customHeight="1" x14ac:dyDescent="0.25">
      <c r="A48" s="4">
        <v>70</v>
      </c>
      <c r="B48" s="1" t="s">
        <v>272</v>
      </c>
      <c r="C48" s="1" t="s">
        <v>39</v>
      </c>
      <c r="D48" s="11" t="s">
        <v>273</v>
      </c>
      <c r="E48" s="10" t="s">
        <v>274</v>
      </c>
      <c r="F48" s="10" t="s">
        <v>129</v>
      </c>
      <c r="G48" s="10" t="s">
        <v>43</v>
      </c>
      <c r="H48" s="5">
        <v>29</v>
      </c>
      <c r="I48" s="5">
        <v>4</v>
      </c>
      <c r="J48" s="21">
        <f>(I48/H48)</f>
        <v>0.13793103448275862</v>
      </c>
      <c r="K48" s="6">
        <v>45091</v>
      </c>
      <c r="L48">
        <v>24</v>
      </c>
      <c r="M48" s="1" t="s">
        <v>148</v>
      </c>
      <c r="O48"/>
      <c r="P48" s="6"/>
      <c r="Q48" s="1" t="s">
        <v>47</v>
      </c>
      <c r="R48" s="6"/>
      <c r="S48" s="6">
        <v>45093</v>
      </c>
      <c r="T48" s="6">
        <v>45093</v>
      </c>
      <c r="U48" s="6"/>
      <c r="V48" s="24">
        <f t="shared" si="10"/>
        <v>45093</v>
      </c>
      <c r="W48">
        <f t="shared" si="11"/>
        <v>2</v>
      </c>
      <c r="X48" s="1" t="s">
        <v>73</v>
      </c>
      <c r="Y48" s="6">
        <v>45096</v>
      </c>
      <c r="Z48" s="1" t="s">
        <v>64</v>
      </c>
      <c r="AA48" s="6">
        <v>45096</v>
      </c>
      <c r="AB48">
        <f>AA48-Y48</f>
        <v>0</v>
      </c>
      <c r="AC48">
        <f>AA48-K48</f>
        <v>5</v>
      </c>
      <c r="AD48" s="6">
        <v>45093</v>
      </c>
      <c r="AE48" s="6">
        <v>45093</v>
      </c>
      <c r="AF48" s="4">
        <f>AE48-V48</f>
        <v>0</v>
      </c>
      <c r="AG48" s="6">
        <v>45068</v>
      </c>
      <c r="AH48">
        <f>K48-AG48</f>
        <v>23</v>
      </c>
      <c r="AI48" s="6">
        <v>45091</v>
      </c>
      <c r="AJ48" s="6">
        <v>45139</v>
      </c>
      <c r="AK48" s="1" t="s">
        <v>175</v>
      </c>
    </row>
    <row r="49" spans="1:38" ht="32.1" customHeight="1" x14ac:dyDescent="0.25">
      <c r="A49" s="4">
        <v>71</v>
      </c>
      <c r="B49" s="1" t="s">
        <v>275</v>
      </c>
      <c r="C49" s="1" t="s">
        <v>39</v>
      </c>
      <c r="D49" s="11" t="s">
        <v>276</v>
      </c>
      <c r="E49" s="10" t="s">
        <v>277</v>
      </c>
      <c r="F49" s="10" t="s">
        <v>183</v>
      </c>
      <c r="G49" s="10" t="s">
        <v>88</v>
      </c>
      <c r="H49" s="5">
        <v>2</v>
      </c>
      <c r="I49" s="5">
        <v>2</v>
      </c>
      <c r="J49" s="21">
        <f>(I49/H49)</f>
        <v>1</v>
      </c>
      <c r="K49" s="6">
        <v>45096</v>
      </c>
      <c r="L49">
        <v>25</v>
      </c>
      <c r="M49" s="1" t="s">
        <v>61</v>
      </c>
      <c r="P49" s="6"/>
      <c r="Q49" s="1" t="s">
        <v>47</v>
      </c>
      <c r="R49" s="6">
        <v>45096</v>
      </c>
      <c r="S49" s="6"/>
      <c r="T49" s="6"/>
      <c r="U49" s="6"/>
      <c r="V49" s="24">
        <f t="shared" si="10"/>
        <v>45096</v>
      </c>
      <c r="W49">
        <f t="shared" si="11"/>
        <v>0</v>
      </c>
      <c r="X49" s="1" t="s">
        <v>48</v>
      </c>
      <c r="Y49" s="6">
        <v>45099</v>
      </c>
      <c r="AA49" s="6"/>
      <c r="AB49"/>
      <c r="AC49"/>
      <c r="AD49" s="6">
        <v>45096</v>
      </c>
      <c r="AE49" s="6">
        <v>45096</v>
      </c>
      <c r="AF49" s="4">
        <f>AE49-V49</f>
        <v>0</v>
      </c>
      <c r="AG49" s="6">
        <v>45093</v>
      </c>
      <c r="AH49">
        <f>K49-AG49</f>
        <v>3</v>
      </c>
      <c r="AI49" s="6" t="s">
        <v>118</v>
      </c>
      <c r="AJ49" s="6">
        <v>45111</v>
      </c>
      <c r="AK49" s="1" t="s">
        <v>170</v>
      </c>
      <c r="AL49" s="1" t="s">
        <v>278</v>
      </c>
    </row>
    <row r="50" spans="1:38" ht="32.1" customHeight="1" x14ac:dyDescent="0.25">
      <c r="A50" s="4">
        <v>14</v>
      </c>
      <c r="B50" s="1" t="s">
        <v>120</v>
      </c>
      <c r="C50" s="1" t="s">
        <v>39</v>
      </c>
      <c r="D50" s="11" t="s">
        <v>121</v>
      </c>
      <c r="E50" s="10" t="s">
        <v>122</v>
      </c>
      <c r="F50" s="10" t="s">
        <v>123</v>
      </c>
      <c r="G50" s="10" t="s">
        <v>80</v>
      </c>
      <c r="H50" s="5" t="s">
        <v>124</v>
      </c>
      <c r="I50" s="5">
        <v>1</v>
      </c>
      <c r="J50" s="22"/>
      <c r="K50" s="6">
        <v>45104</v>
      </c>
      <c r="L50">
        <v>26</v>
      </c>
      <c r="M50" s="1" t="s">
        <v>44</v>
      </c>
      <c r="N50" s="1" t="s">
        <v>103</v>
      </c>
      <c r="O50" t="s">
        <v>125</v>
      </c>
      <c r="P50" s="6">
        <v>45103</v>
      </c>
      <c r="Q50" s="1" t="s">
        <v>47</v>
      </c>
      <c r="R50" s="6"/>
      <c r="S50" s="6"/>
      <c r="T50" s="6">
        <v>45104</v>
      </c>
      <c r="U50" s="6">
        <v>45104</v>
      </c>
      <c r="V50" s="24">
        <f t="shared" si="10"/>
        <v>45104</v>
      </c>
      <c r="W50">
        <f t="shared" si="11"/>
        <v>0</v>
      </c>
      <c r="X50" s="1" t="s">
        <v>48</v>
      </c>
      <c r="Y50" s="6">
        <v>45105</v>
      </c>
      <c r="AA50" s="6"/>
      <c r="AB50"/>
      <c r="AC50"/>
      <c r="AD50" s="6">
        <v>45104</v>
      </c>
      <c r="AE50" s="6"/>
      <c r="AF50" s="4"/>
      <c r="AG50" s="6" t="s">
        <v>126</v>
      </c>
      <c r="AH50"/>
      <c r="AI50" s="6" t="s">
        <v>126</v>
      </c>
      <c r="AJ50" s="6">
        <v>45105</v>
      </c>
      <c r="AK50" s="1" t="s">
        <v>49</v>
      </c>
      <c r="AL50" s="1" t="s">
        <v>127</v>
      </c>
    </row>
    <row r="51" spans="1:38" ht="32.1" customHeight="1" x14ac:dyDescent="0.25">
      <c r="A51" s="4">
        <v>72</v>
      </c>
      <c r="B51" s="1" t="s">
        <v>241</v>
      </c>
      <c r="C51" s="1" t="s">
        <v>39</v>
      </c>
      <c r="D51" s="11" t="s">
        <v>279</v>
      </c>
      <c r="F51" s="10" t="s">
        <v>134</v>
      </c>
      <c r="G51" s="10" t="s">
        <v>135</v>
      </c>
      <c r="H51" s="5">
        <v>18</v>
      </c>
      <c r="I51" s="5">
        <v>10</v>
      </c>
      <c r="J51" s="21">
        <f>(I51/H51)</f>
        <v>0.55555555555555558</v>
      </c>
      <c r="K51" s="6">
        <v>45104</v>
      </c>
      <c r="L51">
        <v>26</v>
      </c>
      <c r="M51" s="1" t="s">
        <v>61</v>
      </c>
      <c r="O51"/>
      <c r="P51" s="6"/>
      <c r="Q51" s="1" t="s">
        <v>47</v>
      </c>
      <c r="R51" s="6"/>
      <c r="S51" s="6">
        <v>45105</v>
      </c>
      <c r="T51" s="6"/>
      <c r="U51" s="6"/>
      <c r="V51" s="24">
        <f t="shared" si="10"/>
        <v>45105</v>
      </c>
      <c r="W51">
        <f t="shared" si="11"/>
        <v>1</v>
      </c>
      <c r="X51" s="1" t="s">
        <v>73</v>
      </c>
      <c r="Y51" s="6">
        <v>45107</v>
      </c>
      <c r="Z51" s="1" t="s">
        <v>74</v>
      </c>
      <c r="AA51" s="6">
        <v>45107</v>
      </c>
      <c r="AB51">
        <f t="shared" ref="AB51:AB56" si="12">AA51-Y51</f>
        <v>0</v>
      </c>
      <c r="AC51">
        <f t="shared" ref="AC51:AC56" si="13">AA51-K51</f>
        <v>3</v>
      </c>
      <c r="AD51" s="6">
        <v>45104</v>
      </c>
      <c r="AE51" s="6">
        <v>45104</v>
      </c>
      <c r="AF51" s="4">
        <f>AE51-V51</f>
        <v>-1</v>
      </c>
      <c r="AG51" s="6">
        <v>45101</v>
      </c>
      <c r="AH51">
        <f t="shared" ref="AH51:AH60" si="14">K51-AG51</f>
        <v>3</v>
      </c>
      <c r="AI51" s="6" t="s">
        <v>65</v>
      </c>
      <c r="AJ51" s="6">
        <v>45150</v>
      </c>
      <c r="AK51" s="1" t="s">
        <v>170</v>
      </c>
      <c r="AL51" s="1" t="s">
        <v>280</v>
      </c>
    </row>
    <row r="52" spans="1:38" ht="32.1" customHeight="1" x14ac:dyDescent="0.25">
      <c r="A52" s="4">
        <v>26</v>
      </c>
      <c r="B52" s="1" t="s">
        <v>160</v>
      </c>
      <c r="C52" s="1" t="s">
        <v>39</v>
      </c>
      <c r="D52" s="11" t="s">
        <v>161</v>
      </c>
      <c r="F52" s="10" t="s">
        <v>134</v>
      </c>
      <c r="G52" s="10" t="s">
        <v>135</v>
      </c>
      <c r="H52" s="5">
        <v>100</v>
      </c>
      <c r="I52" s="5">
        <v>0</v>
      </c>
      <c r="J52" s="21"/>
      <c r="K52" s="6">
        <v>45117</v>
      </c>
      <c r="L52">
        <v>27</v>
      </c>
      <c r="M52" s="1" t="s">
        <v>44</v>
      </c>
      <c r="N52" s="1" t="s">
        <v>45</v>
      </c>
      <c r="O52" t="s">
        <v>162</v>
      </c>
      <c r="P52" s="6">
        <v>45116</v>
      </c>
      <c r="Q52" s="1" t="s">
        <v>47</v>
      </c>
      <c r="R52" s="6">
        <v>45117</v>
      </c>
      <c r="S52" s="6">
        <v>45117</v>
      </c>
      <c r="T52" s="6"/>
      <c r="U52" s="6"/>
      <c r="V52" s="24">
        <f t="shared" si="10"/>
        <v>45117</v>
      </c>
      <c r="W52">
        <f t="shared" si="11"/>
        <v>0</v>
      </c>
      <c r="X52" s="1" t="s">
        <v>73</v>
      </c>
      <c r="Y52" s="6">
        <v>45119</v>
      </c>
      <c r="Z52" s="1" t="s">
        <v>94</v>
      </c>
      <c r="AA52" s="6">
        <v>45119</v>
      </c>
      <c r="AB52">
        <f t="shared" si="12"/>
        <v>0</v>
      </c>
      <c r="AC52">
        <f t="shared" si="13"/>
        <v>2</v>
      </c>
      <c r="AD52" s="6">
        <v>45116</v>
      </c>
      <c r="AE52" s="6">
        <v>45117</v>
      </c>
      <c r="AF52" s="4">
        <f>AE52-V52</f>
        <v>0</v>
      </c>
      <c r="AG52" s="6">
        <v>45116</v>
      </c>
      <c r="AH52">
        <f t="shared" si="14"/>
        <v>1</v>
      </c>
      <c r="AI52" s="6"/>
      <c r="AJ52" s="6">
        <v>45127</v>
      </c>
      <c r="AK52" s="1" t="s">
        <v>142</v>
      </c>
    </row>
    <row r="53" spans="1:38" ht="32.1" customHeight="1" x14ac:dyDescent="0.25">
      <c r="A53" s="4">
        <v>73</v>
      </c>
      <c r="B53" s="1" t="s">
        <v>204</v>
      </c>
      <c r="C53" s="1" t="s">
        <v>39</v>
      </c>
      <c r="D53" s="11" t="s">
        <v>281</v>
      </c>
      <c r="E53" s="10" t="s">
        <v>282</v>
      </c>
      <c r="F53" s="10" t="s">
        <v>42</v>
      </c>
      <c r="G53" s="10" t="s">
        <v>43</v>
      </c>
      <c r="H53" s="5">
        <v>20</v>
      </c>
      <c r="I53" s="5">
        <v>0</v>
      </c>
      <c r="J53" s="21"/>
      <c r="K53" s="6">
        <v>45123</v>
      </c>
      <c r="L53">
        <v>29</v>
      </c>
      <c r="M53" s="1" t="s">
        <v>110</v>
      </c>
      <c r="P53" s="6"/>
      <c r="Q53" s="1" t="s">
        <v>47</v>
      </c>
      <c r="R53" s="6">
        <v>45124</v>
      </c>
      <c r="S53" s="6"/>
      <c r="T53" s="6"/>
      <c r="U53" s="6"/>
      <c r="V53" s="24">
        <f t="shared" si="10"/>
        <v>45124</v>
      </c>
      <c r="W53">
        <f t="shared" si="11"/>
        <v>1</v>
      </c>
      <c r="X53" s="1" t="s">
        <v>73</v>
      </c>
      <c r="Y53" s="6">
        <v>45125</v>
      </c>
      <c r="Z53" s="1" t="s">
        <v>64</v>
      </c>
      <c r="AA53" s="6">
        <v>45126</v>
      </c>
      <c r="AB53">
        <f t="shared" si="12"/>
        <v>1</v>
      </c>
      <c r="AC53">
        <f t="shared" si="13"/>
        <v>3</v>
      </c>
      <c r="AD53" s="6">
        <v>45122</v>
      </c>
      <c r="AE53" s="6">
        <v>45123</v>
      </c>
      <c r="AF53" s="4">
        <f>AE53-V53</f>
        <v>-1</v>
      </c>
      <c r="AG53" s="6">
        <v>45119</v>
      </c>
      <c r="AH53">
        <f t="shared" si="14"/>
        <v>4</v>
      </c>
      <c r="AI53" s="6" t="s">
        <v>65</v>
      </c>
      <c r="AJ53" s="6">
        <v>45176</v>
      </c>
      <c r="AK53" s="1" t="s">
        <v>175</v>
      </c>
    </row>
    <row r="54" spans="1:38" ht="32.1" customHeight="1" x14ac:dyDescent="0.25">
      <c r="A54" s="4">
        <v>74</v>
      </c>
      <c r="B54" s="1" t="s">
        <v>241</v>
      </c>
      <c r="C54" s="1" t="s">
        <v>39</v>
      </c>
      <c r="D54" s="11" t="s">
        <v>283</v>
      </c>
      <c r="F54" s="10" t="s">
        <v>199</v>
      </c>
      <c r="G54" s="10" t="s">
        <v>200</v>
      </c>
      <c r="H54" s="5">
        <v>6</v>
      </c>
      <c r="I54" s="5">
        <v>6</v>
      </c>
      <c r="J54" s="21">
        <f>(I54/H54)</f>
        <v>1</v>
      </c>
      <c r="K54" s="6">
        <v>45126</v>
      </c>
      <c r="L54">
        <v>29</v>
      </c>
      <c r="M54" s="1" t="s">
        <v>61</v>
      </c>
      <c r="P54" s="6"/>
      <c r="Q54" s="1" t="s">
        <v>62</v>
      </c>
      <c r="R54" s="6"/>
      <c r="S54" s="6"/>
      <c r="T54" s="6"/>
      <c r="U54" s="6"/>
      <c r="V54" s="24"/>
      <c r="W54"/>
      <c r="X54" s="1" t="s">
        <v>73</v>
      </c>
      <c r="Y54" s="6">
        <v>45128</v>
      </c>
      <c r="Z54" s="1" t="s">
        <v>74</v>
      </c>
      <c r="AA54" s="6">
        <v>45128</v>
      </c>
      <c r="AB54">
        <f t="shared" si="12"/>
        <v>0</v>
      </c>
      <c r="AC54">
        <f t="shared" si="13"/>
        <v>2</v>
      </c>
      <c r="AD54" s="6">
        <v>45126</v>
      </c>
      <c r="AE54" s="6">
        <v>45127</v>
      </c>
      <c r="AF54" s="4"/>
      <c r="AG54" s="6">
        <v>45123</v>
      </c>
      <c r="AH54">
        <f t="shared" si="14"/>
        <v>3</v>
      </c>
      <c r="AI54" s="6" t="s">
        <v>126</v>
      </c>
      <c r="AJ54" s="6">
        <v>45182</v>
      </c>
      <c r="AK54" s="1" t="s">
        <v>170</v>
      </c>
      <c r="AL54" s="1" t="s">
        <v>284</v>
      </c>
    </row>
    <row r="55" spans="1:38" ht="32.1" customHeight="1" x14ac:dyDescent="0.25">
      <c r="A55" s="4">
        <v>75</v>
      </c>
      <c r="B55" s="1" t="s">
        <v>285</v>
      </c>
      <c r="C55" s="1" t="s">
        <v>39</v>
      </c>
      <c r="D55" s="11" t="s">
        <v>286</v>
      </c>
      <c r="E55" s="10" t="s">
        <v>287</v>
      </c>
      <c r="F55" s="10" t="s">
        <v>165</v>
      </c>
      <c r="G55" s="10" t="s">
        <v>60</v>
      </c>
      <c r="H55" s="5">
        <v>150</v>
      </c>
      <c r="I55" s="5">
        <v>0</v>
      </c>
      <c r="J55" s="21"/>
      <c r="K55" s="6">
        <v>45127</v>
      </c>
      <c r="L55">
        <v>29</v>
      </c>
      <c r="M55" s="1" t="s">
        <v>98</v>
      </c>
      <c r="N55" s="1" t="s">
        <v>103</v>
      </c>
      <c r="O55" t="s">
        <v>288</v>
      </c>
      <c r="P55" s="6">
        <v>45127</v>
      </c>
      <c r="Q55" s="1" t="s">
        <v>47</v>
      </c>
      <c r="R55" s="6">
        <v>45127</v>
      </c>
      <c r="S55" s="6">
        <v>45127</v>
      </c>
      <c r="T55" s="6"/>
      <c r="U55" s="6"/>
      <c r="V55" s="24">
        <f t="shared" ref="V55:V65" si="15">MIN(R55:U55)</f>
        <v>45127</v>
      </c>
      <c r="W55">
        <f t="shared" ref="W55:W65" si="16">V55-K55</f>
        <v>0</v>
      </c>
      <c r="X55" s="1" t="s">
        <v>73</v>
      </c>
      <c r="Y55" s="6">
        <v>45128</v>
      </c>
      <c r="Z55" s="1" t="s">
        <v>94</v>
      </c>
      <c r="AA55" s="6">
        <v>45129</v>
      </c>
      <c r="AB55">
        <f t="shared" si="12"/>
        <v>1</v>
      </c>
      <c r="AC55">
        <f t="shared" si="13"/>
        <v>2</v>
      </c>
      <c r="AD55" s="6">
        <v>45126</v>
      </c>
      <c r="AE55" s="6">
        <v>45126</v>
      </c>
      <c r="AF55" s="4">
        <f>AE55-V55</f>
        <v>-1</v>
      </c>
      <c r="AG55" s="6">
        <v>45125</v>
      </c>
      <c r="AH55">
        <f t="shared" si="14"/>
        <v>2</v>
      </c>
      <c r="AI55" s="6" t="s">
        <v>126</v>
      </c>
      <c r="AJ55" s="6">
        <v>45151</v>
      </c>
      <c r="AK55" s="1" t="s">
        <v>175</v>
      </c>
      <c r="AL55" s="1" t="s">
        <v>289</v>
      </c>
    </row>
    <row r="56" spans="1:38" ht="32.1" customHeight="1" x14ac:dyDescent="0.25">
      <c r="A56" s="4">
        <v>76</v>
      </c>
      <c r="B56" s="1" t="s">
        <v>290</v>
      </c>
      <c r="C56" s="1" t="s">
        <v>39</v>
      </c>
      <c r="D56" s="11" t="s">
        <v>291</v>
      </c>
      <c r="F56" s="10" t="s">
        <v>123</v>
      </c>
      <c r="G56" s="10" t="s">
        <v>80</v>
      </c>
      <c r="H56" s="5">
        <v>148</v>
      </c>
      <c r="I56" s="5"/>
      <c r="J56" s="21"/>
      <c r="K56" s="6">
        <v>45127</v>
      </c>
      <c r="L56">
        <v>29</v>
      </c>
      <c r="M56" s="1" t="s">
        <v>44</v>
      </c>
      <c r="N56" s="1" t="s">
        <v>71</v>
      </c>
      <c r="O56" t="s">
        <v>72</v>
      </c>
      <c r="P56" s="6">
        <v>45127</v>
      </c>
      <c r="Q56" s="1" t="s">
        <v>47</v>
      </c>
      <c r="R56" s="6">
        <v>45127</v>
      </c>
      <c r="S56" s="6">
        <v>45127</v>
      </c>
      <c r="T56" s="6">
        <v>45127</v>
      </c>
      <c r="U56" s="6"/>
      <c r="V56" s="24">
        <f t="shared" si="15"/>
        <v>45127</v>
      </c>
      <c r="W56">
        <f t="shared" si="16"/>
        <v>0</v>
      </c>
      <c r="X56" s="1" t="s">
        <v>73</v>
      </c>
      <c r="Y56" s="6">
        <v>45127</v>
      </c>
      <c r="Z56" s="1" t="s">
        <v>94</v>
      </c>
      <c r="AA56" s="6">
        <v>45129</v>
      </c>
      <c r="AB56">
        <f t="shared" si="12"/>
        <v>2</v>
      </c>
      <c r="AC56">
        <f t="shared" si="13"/>
        <v>2</v>
      </c>
      <c r="AD56" s="6">
        <v>45126</v>
      </c>
      <c r="AE56" s="6">
        <v>45126</v>
      </c>
      <c r="AF56" s="4">
        <f>AE56-V56</f>
        <v>-1</v>
      </c>
      <c r="AG56" s="6">
        <v>45123</v>
      </c>
      <c r="AH56">
        <f t="shared" si="14"/>
        <v>4</v>
      </c>
      <c r="AI56" s="6" t="s">
        <v>126</v>
      </c>
      <c r="AJ56" s="6">
        <v>45143</v>
      </c>
      <c r="AK56" s="1" t="s">
        <v>175</v>
      </c>
      <c r="AL56" s="1" t="s">
        <v>292</v>
      </c>
    </row>
    <row r="57" spans="1:38" ht="32.1" customHeight="1" x14ac:dyDescent="0.25">
      <c r="A57" s="4">
        <v>77</v>
      </c>
      <c r="B57" s="1" t="s">
        <v>293</v>
      </c>
      <c r="C57" s="1" t="s">
        <v>39</v>
      </c>
      <c r="D57" s="11" t="s">
        <v>294</v>
      </c>
      <c r="E57" s="10" t="s">
        <v>185</v>
      </c>
      <c r="F57" s="10" t="s">
        <v>59</v>
      </c>
      <c r="G57" s="10" t="s">
        <v>60</v>
      </c>
      <c r="H57" s="5">
        <v>44</v>
      </c>
      <c r="I57" s="5">
        <v>2</v>
      </c>
      <c r="J57" s="21">
        <f>(I57/H57)</f>
        <v>4.5454545454545456E-2</v>
      </c>
      <c r="K57" s="6">
        <v>45127</v>
      </c>
      <c r="L57">
        <v>29</v>
      </c>
      <c r="M57" s="1" t="s">
        <v>61</v>
      </c>
      <c r="P57" s="6"/>
      <c r="Q57" s="1" t="s">
        <v>47</v>
      </c>
      <c r="R57" s="6">
        <v>45128</v>
      </c>
      <c r="S57" s="6"/>
      <c r="T57" s="6"/>
      <c r="U57" s="6"/>
      <c r="V57" s="24">
        <f t="shared" si="15"/>
        <v>45128</v>
      </c>
      <c r="W57">
        <f t="shared" si="16"/>
        <v>1</v>
      </c>
      <c r="X57" s="1" t="s">
        <v>83</v>
      </c>
      <c r="Y57" s="6">
        <v>45131</v>
      </c>
      <c r="Z57" s="6"/>
      <c r="AA57" s="6"/>
      <c r="AB57"/>
      <c r="AC57"/>
      <c r="AD57" s="6">
        <v>45128</v>
      </c>
      <c r="AE57" s="6">
        <v>45129</v>
      </c>
      <c r="AF57" s="4">
        <f>AE57-V57</f>
        <v>1</v>
      </c>
      <c r="AG57" s="6">
        <v>45109</v>
      </c>
      <c r="AH57">
        <f t="shared" si="14"/>
        <v>18</v>
      </c>
      <c r="AI57" s="6" t="s">
        <v>65</v>
      </c>
      <c r="AJ57" s="6"/>
      <c r="AK57" s="1" t="s">
        <v>170</v>
      </c>
      <c r="AL57" s="10" t="s">
        <v>295</v>
      </c>
    </row>
    <row r="58" spans="1:38" ht="32.1" customHeight="1" x14ac:dyDescent="0.25">
      <c r="A58" s="4">
        <v>78</v>
      </c>
      <c r="B58" s="1" t="s">
        <v>296</v>
      </c>
      <c r="C58" s="1" t="s">
        <v>39</v>
      </c>
      <c r="D58" s="11" t="s">
        <v>297</v>
      </c>
      <c r="E58" s="10" t="s">
        <v>122</v>
      </c>
      <c r="F58" s="10" t="s">
        <v>123</v>
      </c>
      <c r="G58" s="10" t="s">
        <v>80</v>
      </c>
      <c r="H58" s="5">
        <v>3</v>
      </c>
      <c r="I58" s="5">
        <v>2</v>
      </c>
      <c r="J58" s="21">
        <f>(I58/H58)</f>
        <v>0.66666666666666663</v>
      </c>
      <c r="K58" s="6">
        <v>45127</v>
      </c>
      <c r="L58">
        <v>29</v>
      </c>
      <c r="M58" s="1" t="s">
        <v>222</v>
      </c>
      <c r="O58"/>
      <c r="P58" s="6"/>
      <c r="Q58" s="1" t="s">
        <v>47</v>
      </c>
      <c r="R58" s="6">
        <v>45127</v>
      </c>
      <c r="S58" s="6"/>
      <c r="T58" s="6"/>
      <c r="U58" s="6"/>
      <c r="V58" s="24">
        <f t="shared" si="15"/>
        <v>45127</v>
      </c>
      <c r="W58">
        <f t="shared" si="16"/>
        <v>0</v>
      </c>
      <c r="X58" s="1" t="s">
        <v>48</v>
      </c>
      <c r="Y58" s="6">
        <v>45131</v>
      </c>
      <c r="AA58" s="6"/>
      <c r="AB58"/>
      <c r="AC58"/>
      <c r="AD58" s="6">
        <v>45129</v>
      </c>
      <c r="AE58" s="6"/>
      <c r="AF58" s="4"/>
      <c r="AG58" s="6">
        <v>45125</v>
      </c>
      <c r="AH58">
        <f t="shared" si="14"/>
        <v>2</v>
      </c>
      <c r="AI58" s="6" t="s">
        <v>118</v>
      </c>
      <c r="AJ58" s="6">
        <v>45146</v>
      </c>
      <c r="AK58" s="1" t="s">
        <v>175</v>
      </c>
      <c r="AL58" s="1" t="s">
        <v>298</v>
      </c>
    </row>
    <row r="59" spans="1:38" ht="32.1" customHeight="1" x14ac:dyDescent="0.25">
      <c r="A59" s="4">
        <v>79</v>
      </c>
      <c r="B59" s="1" t="s">
        <v>299</v>
      </c>
      <c r="C59" s="1" t="s">
        <v>39</v>
      </c>
      <c r="D59" s="11" t="s">
        <v>300</v>
      </c>
      <c r="G59" s="10" t="s">
        <v>43</v>
      </c>
      <c r="H59" s="5">
        <v>15</v>
      </c>
      <c r="I59" s="5">
        <v>5</v>
      </c>
      <c r="J59" s="21">
        <f>(I59/H59)</f>
        <v>0.33333333333333331</v>
      </c>
      <c r="K59" s="6">
        <v>45128</v>
      </c>
      <c r="L59">
        <v>29</v>
      </c>
      <c r="M59" s="1" t="s">
        <v>110</v>
      </c>
      <c r="O59"/>
      <c r="P59" s="6"/>
      <c r="Q59" s="1" t="s">
        <v>47</v>
      </c>
      <c r="R59" s="6">
        <v>45128</v>
      </c>
      <c r="S59" s="6">
        <v>45128</v>
      </c>
      <c r="T59" s="6">
        <v>45128</v>
      </c>
      <c r="U59" s="6"/>
      <c r="V59" s="24">
        <f t="shared" si="15"/>
        <v>45128</v>
      </c>
      <c r="W59">
        <f t="shared" si="16"/>
        <v>0</v>
      </c>
      <c r="X59" s="1" t="s">
        <v>73</v>
      </c>
      <c r="Y59" s="6">
        <v>45130</v>
      </c>
      <c r="Z59" s="1" t="s">
        <v>74</v>
      </c>
      <c r="AA59" s="6">
        <v>45130</v>
      </c>
      <c r="AB59">
        <f>AA59-Y59</f>
        <v>0</v>
      </c>
      <c r="AC59">
        <f>AA59-K59</f>
        <v>2</v>
      </c>
      <c r="AD59" s="6">
        <v>45126</v>
      </c>
      <c r="AE59" s="6">
        <v>45128</v>
      </c>
      <c r="AF59" s="4">
        <f>AE59-V59</f>
        <v>0</v>
      </c>
      <c r="AG59" s="6">
        <v>45125</v>
      </c>
      <c r="AH59">
        <f t="shared" si="14"/>
        <v>3</v>
      </c>
      <c r="AI59" s="6" t="s">
        <v>65</v>
      </c>
      <c r="AJ59" s="6">
        <v>45139</v>
      </c>
      <c r="AK59" s="1" t="s">
        <v>175</v>
      </c>
    </row>
    <row r="60" spans="1:38" ht="32.1" customHeight="1" x14ac:dyDescent="0.25">
      <c r="A60" s="4">
        <v>30</v>
      </c>
      <c r="B60" s="1" t="s">
        <v>172</v>
      </c>
      <c r="C60" s="1" t="s">
        <v>52</v>
      </c>
      <c r="D60" s="12" t="s">
        <v>369</v>
      </c>
      <c r="F60" s="10" t="s">
        <v>79</v>
      </c>
      <c r="G60" s="10" t="s">
        <v>80</v>
      </c>
      <c r="H60" s="5">
        <v>1</v>
      </c>
      <c r="I60" s="5">
        <v>0</v>
      </c>
      <c r="J60" s="21"/>
      <c r="K60" s="6">
        <v>45130</v>
      </c>
      <c r="L60">
        <v>29</v>
      </c>
      <c r="M60" s="1" t="s">
        <v>54</v>
      </c>
      <c r="P60" s="6"/>
      <c r="Q60" s="1" t="s">
        <v>47</v>
      </c>
      <c r="R60" s="6">
        <v>45130</v>
      </c>
      <c r="S60" s="6"/>
      <c r="T60" s="6"/>
      <c r="U60" s="6"/>
      <c r="V60" s="24">
        <f t="shared" si="15"/>
        <v>45130</v>
      </c>
      <c r="W60">
        <f t="shared" si="16"/>
        <v>0</v>
      </c>
      <c r="X60" s="1" t="s">
        <v>73</v>
      </c>
      <c r="Y60" s="6">
        <v>45132</v>
      </c>
      <c r="Z60" s="1" t="s">
        <v>64</v>
      </c>
      <c r="AA60" s="6">
        <v>45132</v>
      </c>
      <c r="AB60">
        <f>AA60-Y60</f>
        <v>0</v>
      </c>
      <c r="AC60">
        <f>AA60-K60</f>
        <v>2</v>
      </c>
      <c r="AD60" s="6">
        <v>45129</v>
      </c>
      <c r="AE60" s="6">
        <v>45137</v>
      </c>
      <c r="AF60" s="4">
        <f>AE60-V60</f>
        <v>7</v>
      </c>
      <c r="AG60" s="6">
        <v>45123</v>
      </c>
      <c r="AH60">
        <f t="shared" si="14"/>
        <v>7</v>
      </c>
      <c r="AI60" s="6">
        <v>45129</v>
      </c>
      <c r="AJ60" s="6">
        <v>45160</v>
      </c>
      <c r="AK60" s="1" t="s">
        <v>55</v>
      </c>
      <c r="AL60" s="1" t="s">
        <v>173</v>
      </c>
    </row>
    <row r="61" spans="1:38" ht="32.1" customHeight="1" x14ac:dyDescent="0.25">
      <c r="A61" s="4">
        <v>80</v>
      </c>
      <c r="B61" s="1" t="s">
        <v>158</v>
      </c>
      <c r="C61" s="1" t="s">
        <v>68</v>
      </c>
      <c r="D61" s="11" t="s">
        <v>301</v>
      </c>
      <c r="F61" s="10" t="s">
        <v>302</v>
      </c>
      <c r="G61" s="10" t="s">
        <v>303</v>
      </c>
      <c r="H61" s="5"/>
      <c r="I61" s="5">
        <v>34</v>
      </c>
      <c r="J61" s="21"/>
      <c r="K61" s="6">
        <v>45131</v>
      </c>
      <c r="L61">
        <v>30</v>
      </c>
      <c r="M61" s="1" t="s">
        <v>44</v>
      </c>
      <c r="N61" s="1" t="s">
        <v>103</v>
      </c>
      <c r="O61" t="s">
        <v>304</v>
      </c>
      <c r="P61" s="6">
        <v>45131</v>
      </c>
      <c r="Q61" s="1" t="s">
        <v>47</v>
      </c>
      <c r="R61" s="6"/>
      <c r="S61" s="6"/>
      <c r="T61" s="6">
        <v>45131</v>
      </c>
      <c r="U61" s="6"/>
      <c r="V61" s="24">
        <f t="shared" si="15"/>
        <v>45131</v>
      </c>
      <c r="W61">
        <f t="shared" si="16"/>
        <v>0</v>
      </c>
      <c r="X61" s="1" t="s">
        <v>83</v>
      </c>
      <c r="Y61" s="6">
        <v>45132</v>
      </c>
      <c r="AA61" s="6"/>
      <c r="AB61"/>
      <c r="AC61"/>
      <c r="AD61" s="6">
        <v>45132</v>
      </c>
      <c r="AE61" s="6">
        <v>45132</v>
      </c>
      <c r="AF61" s="4">
        <f>AE61-V61</f>
        <v>1</v>
      </c>
      <c r="AG61" s="6"/>
      <c r="AH61"/>
      <c r="AI61" s="6"/>
      <c r="AJ61" s="6"/>
      <c r="AK61" s="1" t="s">
        <v>75</v>
      </c>
      <c r="AL61" s="1" t="s">
        <v>305</v>
      </c>
    </row>
    <row r="62" spans="1:38" ht="32.1" customHeight="1" x14ac:dyDescent="0.25">
      <c r="A62" s="4">
        <v>1</v>
      </c>
      <c r="B62" s="1" t="s">
        <v>38</v>
      </c>
      <c r="C62" s="1" t="s">
        <v>39</v>
      </c>
      <c r="D62" s="11" t="s">
        <v>40</v>
      </c>
      <c r="E62" s="10" t="s">
        <v>41</v>
      </c>
      <c r="F62" s="10" t="s">
        <v>42</v>
      </c>
      <c r="G62" s="10" t="s">
        <v>43</v>
      </c>
      <c r="H62" s="5">
        <v>5</v>
      </c>
      <c r="I62" s="5">
        <v>5</v>
      </c>
      <c r="J62" s="21">
        <f>(I62/H62)</f>
        <v>1</v>
      </c>
      <c r="K62" s="6">
        <v>45133</v>
      </c>
      <c r="L62">
        <v>30</v>
      </c>
      <c r="M62" s="1" t="s">
        <v>44</v>
      </c>
      <c r="N62" s="1" t="s">
        <v>45</v>
      </c>
      <c r="O62" t="s">
        <v>46</v>
      </c>
      <c r="P62" s="6">
        <v>45132</v>
      </c>
      <c r="Q62" s="1" t="s">
        <v>47</v>
      </c>
      <c r="R62" s="6">
        <v>45133</v>
      </c>
      <c r="S62" s="6"/>
      <c r="T62" s="6">
        <v>45133</v>
      </c>
      <c r="U62" s="6"/>
      <c r="V62" s="24">
        <f t="shared" si="15"/>
        <v>45133</v>
      </c>
      <c r="W62">
        <f t="shared" si="16"/>
        <v>0</v>
      </c>
      <c r="X62" s="1" t="s">
        <v>48</v>
      </c>
      <c r="Y62" s="6">
        <v>45138</v>
      </c>
      <c r="AA62" s="6"/>
      <c r="AB62"/>
      <c r="AC62"/>
      <c r="AD62" s="6">
        <v>45133</v>
      </c>
      <c r="AE62" s="6"/>
      <c r="AF62" s="4"/>
      <c r="AG62" s="6">
        <v>45127</v>
      </c>
      <c r="AH62">
        <f>K62-AG62</f>
        <v>6</v>
      </c>
      <c r="AI62" s="6">
        <v>45137</v>
      </c>
      <c r="AJ62" s="6">
        <v>45138</v>
      </c>
      <c r="AK62" s="1" t="s">
        <v>49</v>
      </c>
      <c r="AL62" s="1" t="s">
        <v>50</v>
      </c>
    </row>
    <row r="63" spans="1:38" ht="32.1" customHeight="1" x14ac:dyDescent="0.25">
      <c r="A63" s="4">
        <v>2</v>
      </c>
      <c r="B63" s="1" t="s">
        <v>51</v>
      </c>
      <c r="C63" s="1" t="s">
        <v>52</v>
      </c>
      <c r="D63" s="11" t="s">
        <v>53</v>
      </c>
      <c r="G63" s="10" t="s">
        <v>43</v>
      </c>
      <c r="H63" s="5"/>
      <c r="I63" s="5">
        <v>13000</v>
      </c>
      <c r="J63" s="21"/>
      <c r="K63" s="6">
        <v>45133</v>
      </c>
      <c r="L63">
        <v>30</v>
      </c>
      <c r="M63" s="1" t="s">
        <v>54</v>
      </c>
      <c r="O63"/>
      <c r="P63" s="6"/>
      <c r="Q63" s="1" t="s">
        <v>47</v>
      </c>
      <c r="R63" s="6"/>
      <c r="S63" s="6"/>
      <c r="T63" s="6">
        <v>45133</v>
      </c>
      <c r="U63" s="6"/>
      <c r="V63" s="24">
        <f t="shared" si="15"/>
        <v>45133</v>
      </c>
      <c r="W63">
        <f t="shared" si="16"/>
        <v>0</v>
      </c>
      <c r="X63" s="1" t="s">
        <v>48</v>
      </c>
      <c r="Y63" s="6">
        <v>45134</v>
      </c>
      <c r="AA63" s="6"/>
      <c r="AB63"/>
      <c r="AC63"/>
      <c r="AD63" s="6"/>
      <c r="AE63" s="6"/>
      <c r="AF63" s="4"/>
      <c r="AG63" s="6"/>
      <c r="AH63"/>
      <c r="AI63" s="6"/>
      <c r="AJ63" s="6">
        <v>45134</v>
      </c>
      <c r="AK63" s="1" t="s">
        <v>55</v>
      </c>
      <c r="AL63" s="1" t="s">
        <v>56</v>
      </c>
    </row>
    <row r="64" spans="1:38" ht="32.1" customHeight="1" x14ac:dyDescent="0.25">
      <c r="A64" s="4">
        <v>81</v>
      </c>
      <c r="B64" s="1" t="s">
        <v>306</v>
      </c>
      <c r="C64" s="1" t="s">
        <v>39</v>
      </c>
      <c r="D64" s="11" t="s">
        <v>307</v>
      </c>
      <c r="F64" s="10" t="s">
        <v>42</v>
      </c>
      <c r="G64" s="10" t="s">
        <v>43</v>
      </c>
      <c r="H64" s="5">
        <v>3</v>
      </c>
      <c r="I64" s="5">
        <v>0</v>
      </c>
      <c r="J64" s="21"/>
      <c r="K64" s="6">
        <v>45133</v>
      </c>
      <c r="L64">
        <v>30</v>
      </c>
      <c r="M64" s="1" t="s">
        <v>110</v>
      </c>
      <c r="O64" s="7"/>
      <c r="P64" s="6"/>
      <c r="Q64" s="1" t="s">
        <v>47</v>
      </c>
      <c r="R64" s="6">
        <v>45133</v>
      </c>
      <c r="S64" s="6"/>
      <c r="T64" s="6"/>
      <c r="U64" s="6"/>
      <c r="V64" s="24">
        <f t="shared" si="15"/>
        <v>45133</v>
      </c>
      <c r="W64">
        <f t="shared" si="16"/>
        <v>0</v>
      </c>
      <c r="X64" s="1" t="s">
        <v>73</v>
      </c>
      <c r="Y64" s="6">
        <v>45133</v>
      </c>
      <c r="Z64" s="1" t="s">
        <v>94</v>
      </c>
      <c r="AA64" s="6">
        <v>45133</v>
      </c>
      <c r="AB64">
        <f>AA64-Y64</f>
        <v>0</v>
      </c>
      <c r="AC64">
        <f>AA64-K64</f>
        <v>0</v>
      </c>
      <c r="AD64" s="6">
        <v>45136</v>
      </c>
      <c r="AE64" s="6">
        <v>45136</v>
      </c>
      <c r="AF64" s="4">
        <f>AE64-V64</f>
        <v>3</v>
      </c>
      <c r="AG64" s="6">
        <v>45131</v>
      </c>
      <c r="AH64">
        <f>K64-AG64</f>
        <v>2</v>
      </c>
      <c r="AI64" s="6">
        <v>45135</v>
      </c>
      <c r="AJ64" s="6">
        <v>45152</v>
      </c>
      <c r="AK64" s="1" t="s">
        <v>170</v>
      </c>
    </row>
    <row r="65" spans="1:38" ht="32.1" customHeight="1" x14ac:dyDescent="0.25">
      <c r="A65" s="4">
        <v>31</v>
      </c>
      <c r="B65" s="1" t="s">
        <v>160</v>
      </c>
      <c r="C65" s="1" t="s">
        <v>39</v>
      </c>
      <c r="D65" s="11" t="s">
        <v>370</v>
      </c>
      <c r="F65" s="10" t="s">
        <v>79</v>
      </c>
      <c r="G65" s="10" t="s">
        <v>80</v>
      </c>
      <c r="H65" s="5">
        <v>84</v>
      </c>
      <c r="I65" s="5">
        <v>0</v>
      </c>
      <c r="J65" s="21"/>
      <c r="K65" s="6">
        <v>45134</v>
      </c>
      <c r="L65">
        <v>30</v>
      </c>
      <c r="M65" s="1" t="s">
        <v>174</v>
      </c>
      <c r="O65"/>
      <c r="P65" s="6"/>
      <c r="Q65" s="1" t="s">
        <v>47</v>
      </c>
      <c r="R65" s="6">
        <v>45134</v>
      </c>
      <c r="S65" s="6"/>
      <c r="T65" s="6"/>
      <c r="U65" s="6"/>
      <c r="V65" s="24">
        <f t="shared" si="15"/>
        <v>45134</v>
      </c>
      <c r="W65">
        <f t="shared" si="16"/>
        <v>0</v>
      </c>
      <c r="X65" s="1" t="s">
        <v>73</v>
      </c>
      <c r="Y65" s="6">
        <v>45135</v>
      </c>
      <c r="Z65" s="1" t="s">
        <v>94</v>
      </c>
      <c r="AA65" s="6">
        <v>45135</v>
      </c>
      <c r="AB65">
        <f>AA65-Y65</f>
        <v>0</v>
      </c>
      <c r="AC65">
        <f>AA65-K65</f>
        <v>1</v>
      </c>
      <c r="AD65" s="6">
        <v>45133</v>
      </c>
      <c r="AE65" s="6">
        <v>45133</v>
      </c>
      <c r="AF65" s="4">
        <f>AE65-V65</f>
        <v>-1</v>
      </c>
      <c r="AG65" s="6">
        <v>45133</v>
      </c>
      <c r="AH65">
        <f>K65-AG65</f>
        <v>1</v>
      </c>
      <c r="AI65" s="6"/>
      <c r="AJ65" s="6">
        <v>45145</v>
      </c>
      <c r="AK65" s="1" t="s">
        <v>175</v>
      </c>
      <c r="AL65" s="1" t="s">
        <v>176</v>
      </c>
    </row>
    <row r="66" spans="1:38" ht="32.1" customHeight="1" x14ac:dyDescent="0.25">
      <c r="A66" s="4">
        <v>32</v>
      </c>
      <c r="B66" s="1" t="s">
        <v>177</v>
      </c>
      <c r="C66" s="1" t="s">
        <v>39</v>
      </c>
      <c r="D66" s="11" t="s">
        <v>371</v>
      </c>
      <c r="E66" s="10" t="s">
        <v>122</v>
      </c>
      <c r="F66" s="10" t="s">
        <v>123</v>
      </c>
      <c r="G66" s="10" t="s">
        <v>80</v>
      </c>
      <c r="H66" s="5">
        <v>1</v>
      </c>
      <c r="I66" s="5"/>
      <c r="J66" s="22"/>
      <c r="K66" s="6">
        <v>45136</v>
      </c>
      <c r="L66">
        <v>30</v>
      </c>
      <c r="M66" s="1" t="s">
        <v>174</v>
      </c>
      <c r="P66" s="6"/>
      <c r="Q66" s="1" t="s">
        <v>62</v>
      </c>
      <c r="R66" s="6"/>
      <c r="S66" s="6"/>
      <c r="T66" s="6"/>
      <c r="U66" s="6"/>
      <c r="V66" s="24"/>
      <c r="W66"/>
      <c r="X66" s="1" t="s">
        <v>48</v>
      </c>
      <c r="Y66" s="6">
        <v>45138</v>
      </c>
      <c r="AA66" s="6"/>
      <c r="AB66"/>
      <c r="AC66"/>
      <c r="AD66" s="6">
        <v>45136</v>
      </c>
      <c r="AE66" s="6"/>
      <c r="AF66" s="4">
        <f>AE66-V66</f>
        <v>0</v>
      </c>
      <c r="AG66" s="6">
        <v>45129</v>
      </c>
      <c r="AH66">
        <f>K66-AG66</f>
        <v>7</v>
      </c>
      <c r="AI66" s="6" t="s">
        <v>118</v>
      </c>
      <c r="AJ66" s="6">
        <v>45138</v>
      </c>
      <c r="AK66" s="1" t="s">
        <v>49</v>
      </c>
      <c r="AL66" s="1" t="s">
        <v>178</v>
      </c>
    </row>
    <row r="67" spans="1:38" ht="32.1" customHeight="1" x14ac:dyDescent="0.25">
      <c r="A67" s="4">
        <v>15</v>
      </c>
      <c r="B67" s="1" t="s">
        <v>96</v>
      </c>
      <c r="C67" s="1" t="s">
        <v>39</v>
      </c>
      <c r="D67" s="11" t="s">
        <v>128</v>
      </c>
      <c r="F67" s="10" t="s">
        <v>129</v>
      </c>
      <c r="G67" s="10" t="s">
        <v>43</v>
      </c>
      <c r="H67" s="5">
        <v>50</v>
      </c>
      <c r="I67" s="5">
        <v>1</v>
      </c>
      <c r="J67" s="22">
        <f>(I67/H67)</f>
        <v>0.02</v>
      </c>
      <c r="K67" s="6">
        <v>45143</v>
      </c>
      <c r="L67">
        <v>32</v>
      </c>
      <c r="M67" s="1" t="s">
        <v>98</v>
      </c>
      <c r="N67" s="1" t="s">
        <v>45</v>
      </c>
      <c r="O67" t="s">
        <v>130</v>
      </c>
      <c r="P67" s="6">
        <v>45141</v>
      </c>
      <c r="Q67" s="1" t="s">
        <v>47</v>
      </c>
      <c r="R67" s="6">
        <v>45144</v>
      </c>
      <c r="S67" s="6">
        <v>45144</v>
      </c>
      <c r="T67" s="6"/>
      <c r="U67" s="6"/>
      <c r="V67" s="24">
        <f>MIN(R67:U67)</f>
        <v>45144</v>
      </c>
      <c r="W67">
        <f>V67-K67</f>
        <v>1</v>
      </c>
      <c r="X67" s="1" t="s">
        <v>48</v>
      </c>
      <c r="Y67" s="6">
        <v>45144</v>
      </c>
      <c r="AA67" s="6"/>
      <c r="AB67"/>
      <c r="AC67"/>
      <c r="AD67" s="6">
        <v>45142</v>
      </c>
      <c r="AE67" s="6">
        <v>45142</v>
      </c>
      <c r="AF67" s="4">
        <f>AE67-V67</f>
        <v>-2</v>
      </c>
      <c r="AG67" s="6">
        <v>45137</v>
      </c>
      <c r="AH67">
        <f>K67-AG67</f>
        <v>6</v>
      </c>
      <c r="AI67" s="6" t="s">
        <v>118</v>
      </c>
      <c r="AJ67" s="6">
        <v>45153</v>
      </c>
      <c r="AK67" s="1" t="s">
        <v>100</v>
      </c>
      <c r="AL67" s="1" t="s">
        <v>131</v>
      </c>
    </row>
    <row r="68" spans="1:38" ht="32.1" customHeight="1" x14ac:dyDescent="0.25">
      <c r="A68" s="4">
        <v>82</v>
      </c>
      <c r="B68" s="1" t="s">
        <v>296</v>
      </c>
      <c r="C68" s="1" t="s">
        <v>39</v>
      </c>
      <c r="D68" s="11" t="s">
        <v>308</v>
      </c>
      <c r="F68" s="10" t="s">
        <v>208</v>
      </c>
      <c r="G68" s="10" t="s">
        <v>117</v>
      </c>
      <c r="H68" s="5"/>
      <c r="I68" s="5"/>
      <c r="J68" s="21"/>
      <c r="K68" s="6">
        <v>45144</v>
      </c>
      <c r="L68">
        <v>32</v>
      </c>
      <c r="M68" s="1" t="s">
        <v>82</v>
      </c>
      <c r="P68" s="6"/>
      <c r="Q68" s="1" t="s">
        <v>62</v>
      </c>
      <c r="R68" s="6"/>
      <c r="S68" s="6"/>
      <c r="T68" s="6"/>
      <c r="U68" s="6"/>
      <c r="V68" s="24"/>
      <c r="W68"/>
      <c r="X68" s="1" t="s">
        <v>83</v>
      </c>
      <c r="Y68" s="6">
        <v>45161</v>
      </c>
      <c r="AA68" s="6"/>
      <c r="AB68"/>
      <c r="AC68"/>
      <c r="AD68" s="6"/>
      <c r="AE68" s="6"/>
      <c r="AF68" s="4">
        <f>AE68-V68</f>
        <v>0</v>
      </c>
      <c r="AG68" s="6" t="s">
        <v>118</v>
      </c>
      <c r="AH68"/>
      <c r="AI68" s="6"/>
      <c r="AJ68" s="6"/>
      <c r="AK68" s="1" t="s">
        <v>142</v>
      </c>
      <c r="AL68" s="1" t="s">
        <v>309</v>
      </c>
    </row>
    <row r="69" spans="1:38" ht="32.1" customHeight="1" x14ac:dyDescent="0.25">
      <c r="A69" s="4">
        <v>3</v>
      </c>
      <c r="B69" s="1" t="s">
        <v>57</v>
      </c>
      <c r="C69" s="1" t="s">
        <v>39</v>
      </c>
      <c r="D69" s="11" t="s">
        <v>58</v>
      </c>
      <c r="F69" s="10" t="s">
        <v>59</v>
      </c>
      <c r="G69" s="10" t="s">
        <v>60</v>
      </c>
      <c r="H69" s="5">
        <v>6</v>
      </c>
      <c r="I69" s="5">
        <v>1</v>
      </c>
      <c r="J69" s="21">
        <f>(I69/H69)</f>
        <v>0.16666666666666666</v>
      </c>
      <c r="K69" s="6">
        <v>45146</v>
      </c>
      <c r="L69">
        <v>32</v>
      </c>
      <c r="M69" s="1" t="s">
        <v>61</v>
      </c>
      <c r="P69" s="6"/>
      <c r="Q69" s="1" t="s">
        <v>62</v>
      </c>
      <c r="R69" s="6"/>
      <c r="S69" s="6"/>
      <c r="T69" s="6"/>
      <c r="U69" s="6"/>
      <c r="V69" s="24"/>
      <c r="W69"/>
      <c r="X69" s="1" t="s">
        <v>63</v>
      </c>
      <c r="Y69" s="6">
        <v>45151</v>
      </c>
      <c r="Z69" s="1" t="s">
        <v>64</v>
      </c>
      <c r="AA69" s="6">
        <v>45151</v>
      </c>
      <c r="AB69">
        <f>AA69-Y69</f>
        <v>0</v>
      </c>
      <c r="AC69">
        <f>AA69-K69</f>
        <v>5</v>
      </c>
      <c r="AD69" s="6">
        <v>45144</v>
      </c>
      <c r="AE69" s="6">
        <v>45145</v>
      </c>
      <c r="AF69" s="4"/>
      <c r="AG69" s="6">
        <v>45140</v>
      </c>
      <c r="AH69">
        <f>K69-AG69</f>
        <v>6</v>
      </c>
      <c r="AI69" s="6" t="s">
        <v>65</v>
      </c>
      <c r="AJ69" s="6"/>
      <c r="AK69" s="1" t="s">
        <v>49</v>
      </c>
      <c r="AL69" s="1" t="s">
        <v>66</v>
      </c>
    </row>
    <row r="70" spans="1:38" ht="32.1" customHeight="1" x14ac:dyDescent="0.25">
      <c r="A70" s="4">
        <v>27</v>
      </c>
      <c r="B70" s="1" t="s">
        <v>149</v>
      </c>
      <c r="C70" s="1" t="s">
        <v>52</v>
      </c>
      <c r="D70" s="11" t="s">
        <v>163</v>
      </c>
      <c r="E70" s="10" t="s">
        <v>164</v>
      </c>
      <c r="F70" s="10" t="s">
        <v>165</v>
      </c>
      <c r="G70" s="10" t="s">
        <v>60</v>
      </c>
      <c r="H70" s="5"/>
      <c r="I70" s="5"/>
      <c r="J70" s="21"/>
      <c r="K70" s="6">
        <v>45156</v>
      </c>
      <c r="L70">
        <v>32</v>
      </c>
      <c r="M70" s="1" t="s">
        <v>98</v>
      </c>
      <c r="N70" s="1" t="s">
        <v>103</v>
      </c>
      <c r="O70" t="s">
        <v>166</v>
      </c>
      <c r="P70" s="6">
        <v>45154</v>
      </c>
      <c r="Q70" s="1" t="s">
        <v>47</v>
      </c>
      <c r="R70" s="6">
        <v>45156</v>
      </c>
      <c r="S70" s="6">
        <v>45156</v>
      </c>
      <c r="T70" s="6"/>
      <c r="U70" s="6"/>
      <c r="V70" s="24">
        <f>MIN(R70:U70)</f>
        <v>45156</v>
      </c>
      <c r="W70">
        <f>V70-K70</f>
        <v>0</v>
      </c>
      <c r="X70" s="1" t="s">
        <v>73</v>
      </c>
      <c r="Y70" s="6">
        <v>45157</v>
      </c>
      <c r="Z70" s="1" t="s">
        <v>74</v>
      </c>
      <c r="AA70" s="6">
        <v>45159</v>
      </c>
      <c r="AB70">
        <f>AA70-Y70</f>
        <v>2</v>
      </c>
      <c r="AC70">
        <f>AA70-K70</f>
        <v>3</v>
      </c>
      <c r="AD70" s="6">
        <v>45148</v>
      </c>
      <c r="AE70" s="6">
        <v>45148</v>
      </c>
      <c r="AF70" s="4">
        <f>AE70-V70</f>
        <v>-8</v>
      </c>
      <c r="AG70" s="6"/>
      <c r="AH70"/>
      <c r="AI70" s="6">
        <v>45150</v>
      </c>
      <c r="AJ70" s="6">
        <v>45172</v>
      </c>
      <c r="AK70" s="1" t="s">
        <v>55</v>
      </c>
    </row>
    <row r="71" spans="1:38" ht="32.1" customHeight="1" x14ac:dyDescent="0.25">
      <c r="A71" s="4">
        <v>33</v>
      </c>
      <c r="B71" s="1" t="s">
        <v>158</v>
      </c>
      <c r="C71" s="1" t="s">
        <v>68</v>
      </c>
      <c r="D71" s="11" t="s">
        <v>367</v>
      </c>
      <c r="G71" s="10" t="s">
        <v>60</v>
      </c>
      <c r="H71" s="5"/>
      <c r="I71" s="5">
        <v>26</v>
      </c>
      <c r="J71" s="21"/>
      <c r="K71" s="6">
        <v>45156</v>
      </c>
      <c r="L71">
        <v>33</v>
      </c>
      <c r="M71" s="1" t="s">
        <v>179</v>
      </c>
      <c r="O71"/>
      <c r="P71" s="6"/>
      <c r="Q71" s="1" t="s">
        <v>62</v>
      </c>
      <c r="R71" s="6"/>
      <c r="S71" s="6"/>
      <c r="T71" s="6"/>
      <c r="U71" s="6"/>
      <c r="V71" s="24"/>
      <c r="W71"/>
      <c r="X71" s="1" t="s">
        <v>73</v>
      </c>
      <c r="Y71" s="6">
        <v>45156</v>
      </c>
      <c r="Z71" s="1" t="s">
        <v>94</v>
      </c>
      <c r="AA71" s="6">
        <v>45159</v>
      </c>
      <c r="AB71">
        <f>AA71-Y71</f>
        <v>3</v>
      </c>
      <c r="AC71">
        <f>AA71-K71</f>
        <v>3</v>
      </c>
      <c r="AD71" s="6">
        <v>45159</v>
      </c>
      <c r="AE71" s="6">
        <v>45159</v>
      </c>
      <c r="AF71" s="4"/>
      <c r="AG71" s="6"/>
      <c r="AH71"/>
      <c r="AI71" s="6"/>
      <c r="AJ71" s="6">
        <v>45199</v>
      </c>
      <c r="AK71" s="1" t="s">
        <v>75</v>
      </c>
    </row>
    <row r="72" spans="1:38" ht="32.1" customHeight="1" x14ac:dyDescent="0.25">
      <c r="A72" s="4">
        <v>35</v>
      </c>
      <c r="B72" s="1" t="s">
        <v>182</v>
      </c>
      <c r="C72" s="1" t="s">
        <v>39</v>
      </c>
      <c r="D72" s="11" t="s">
        <v>373</v>
      </c>
      <c r="F72" s="10" t="s">
        <v>183</v>
      </c>
      <c r="G72" s="10" t="s">
        <v>88</v>
      </c>
      <c r="H72" s="5">
        <v>54</v>
      </c>
      <c r="I72" s="5">
        <v>0</v>
      </c>
      <c r="J72" s="21"/>
      <c r="K72" s="6">
        <v>45180</v>
      </c>
      <c r="L72">
        <v>41</v>
      </c>
      <c r="M72" s="1" t="s">
        <v>61</v>
      </c>
      <c r="P72" s="6"/>
      <c r="Q72" s="1" t="s">
        <v>47</v>
      </c>
      <c r="R72" s="6">
        <v>45180</v>
      </c>
      <c r="S72" s="6"/>
      <c r="T72" s="6"/>
      <c r="U72" s="6"/>
      <c r="V72" s="24">
        <f>MIN(R72:U72)</f>
        <v>45180</v>
      </c>
      <c r="W72">
        <f>V72-K72</f>
        <v>0</v>
      </c>
      <c r="X72" s="1" t="s">
        <v>73</v>
      </c>
      <c r="Y72" s="6">
        <v>45181</v>
      </c>
      <c r="Z72" s="1" t="s">
        <v>94</v>
      </c>
      <c r="AA72" s="6">
        <v>45181</v>
      </c>
      <c r="AB72">
        <f>AA72-Y72</f>
        <v>0</v>
      </c>
      <c r="AC72">
        <f>AA72-K72</f>
        <v>1</v>
      </c>
      <c r="AD72" s="6">
        <v>45182</v>
      </c>
      <c r="AE72" s="6">
        <v>45194</v>
      </c>
      <c r="AF72" s="4">
        <f>AE72-V72</f>
        <v>14</v>
      </c>
      <c r="AG72" s="6">
        <v>45171</v>
      </c>
      <c r="AH72">
        <f>K72-AG72</f>
        <v>9</v>
      </c>
      <c r="AI72" s="6">
        <v>45184</v>
      </c>
      <c r="AJ72" s="6">
        <v>45283</v>
      </c>
      <c r="AK72" s="1" t="s">
        <v>142</v>
      </c>
    </row>
    <row r="73" spans="1:38" ht="32.1" customHeight="1" x14ac:dyDescent="0.25">
      <c r="A73" s="4">
        <v>83</v>
      </c>
      <c r="B73" s="1" t="s">
        <v>310</v>
      </c>
      <c r="C73" s="1" t="s">
        <v>39</v>
      </c>
      <c r="D73" s="11" t="s">
        <v>311</v>
      </c>
      <c r="E73" s="10" t="s">
        <v>41</v>
      </c>
      <c r="F73" s="10" t="s">
        <v>42</v>
      </c>
      <c r="G73" s="10" t="s">
        <v>43</v>
      </c>
      <c r="H73" s="5">
        <v>17</v>
      </c>
      <c r="I73" s="5">
        <v>17</v>
      </c>
      <c r="J73" s="21">
        <f>(I73/H73)</f>
        <v>1</v>
      </c>
      <c r="K73" s="6">
        <v>45194</v>
      </c>
      <c r="L73">
        <v>39</v>
      </c>
      <c r="M73" s="1" t="s">
        <v>110</v>
      </c>
      <c r="P73" s="6"/>
      <c r="Q73" s="1" t="s">
        <v>47</v>
      </c>
      <c r="R73" s="6">
        <v>45195</v>
      </c>
      <c r="S73" s="6">
        <v>45194</v>
      </c>
      <c r="T73" s="6"/>
      <c r="U73" s="6"/>
      <c r="V73" s="24">
        <f>MIN(R73:U73)</f>
        <v>45194</v>
      </c>
      <c r="W73">
        <f>V73-K73</f>
        <v>0</v>
      </c>
      <c r="X73" s="1" t="s">
        <v>73</v>
      </c>
      <c r="Y73" s="6">
        <v>45196</v>
      </c>
      <c r="Z73" s="1" t="s">
        <v>312</v>
      </c>
      <c r="AA73" s="6">
        <v>45196</v>
      </c>
      <c r="AB73">
        <f>AA73-Y73</f>
        <v>0</v>
      </c>
      <c r="AC73">
        <f>AA73-K73</f>
        <v>2</v>
      </c>
      <c r="AD73" s="6">
        <v>45189</v>
      </c>
      <c r="AE73" s="6">
        <v>45196</v>
      </c>
      <c r="AF73" s="4">
        <f>AE73-V73</f>
        <v>2</v>
      </c>
      <c r="AG73" s="6">
        <v>45171</v>
      </c>
      <c r="AH73">
        <f>K73-AG73</f>
        <v>23</v>
      </c>
      <c r="AI73" s="6" t="s">
        <v>118</v>
      </c>
      <c r="AJ73" s="6">
        <v>45211</v>
      </c>
      <c r="AK73" s="1" t="s">
        <v>142</v>
      </c>
      <c r="AL73" s="2" t="s">
        <v>313</v>
      </c>
    </row>
    <row r="74" spans="1:38" ht="32.1" customHeight="1" x14ac:dyDescent="0.25">
      <c r="A74" s="4">
        <v>20</v>
      </c>
      <c r="B74" s="1" t="s">
        <v>77</v>
      </c>
      <c r="C74" s="1" t="s">
        <v>52</v>
      </c>
      <c r="D74" s="11" t="s">
        <v>143</v>
      </c>
      <c r="F74" s="10" t="s">
        <v>144</v>
      </c>
      <c r="G74" s="10" t="s">
        <v>80</v>
      </c>
      <c r="H74" s="23">
        <v>14</v>
      </c>
      <c r="I74" s="23"/>
      <c r="J74" s="22"/>
      <c r="K74" s="6">
        <v>45207</v>
      </c>
      <c r="L74">
        <v>41</v>
      </c>
      <c r="M74" s="1" t="s">
        <v>54</v>
      </c>
      <c r="O74"/>
      <c r="P74" s="6"/>
      <c r="Q74" s="1" t="s">
        <v>47</v>
      </c>
      <c r="R74" s="6">
        <v>45207</v>
      </c>
      <c r="S74" s="6"/>
      <c r="T74" s="6">
        <v>45207</v>
      </c>
      <c r="U74" s="6">
        <v>45207</v>
      </c>
      <c r="V74" s="24">
        <f>MIN(R74:U74)</f>
        <v>45207</v>
      </c>
      <c r="W74">
        <f>V74-K74</f>
        <v>0</v>
      </c>
      <c r="X74" s="1" t="s">
        <v>48</v>
      </c>
      <c r="Y74" s="6">
        <v>45209</v>
      </c>
      <c r="AA74" s="6"/>
      <c r="AB74"/>
      <c r="AC74"/>
      <c r="AD74" s="6">
        <v>45205</v>
      </c>
      <c r="AE74" s="6">
        <v>45206</v>
      </c>
      <c r="AF74" s="4">
        <f>AE74-V74</f>
        <v>-1</v>
      </c>
      <c r="AG74" s="6"/>
      <c r="AH74"/>
      <c r="AI74" s="6">
        <v>45205</v>
      </c>
      <c r="AJ74" s="6">
        <v>45209</v>
      </c>
      <c r="AK74" s="1" t="s">
        <v>55</v>
      </c>
      <c r="AL74" s="1" t="s">
        <v>145</v>
      </c>
    </row>
    <row r="75" spans="1:38" ht="32.1" customHeight="1" x14ac:dyDescent="0.25">
      <c r="A75" s="4">
        <v>34</v>
      </c>
      <c r="B75" s="1" t="s">
        <v>180</v>
      </c>
      <c r="C75" s="1" t="s">
        <v>39</v>
      </c>
      <c r="D75" s="11" t="s">
        <v>372</v>
      </c>
      <c r="F75" s="10" t="s">
        <v>70</v>
      </c>
      <c r="G75" s="10" t="s">
        <v>43</v>
      </c>
      <c r="H75" s="5">
        <v>3</v>
      </c>
      <c r="I75" s="5">
        <v>0</v>
      </c>
      <c r="J75" s="22"/>
      <c r="K75" s="6">
        <v>45210</v>
      </c>
      <c r="L75">
        <v>41</v>
      </c>
      <c r="M75" s="1" t="s">
        <v>110</v>
      </c>
      <c r="P75" s="6"/>
      <c r="Q75" s="1" t="s">
        <v>62</v>
      </c>
      <c r="R75" s="6"/>
      <c r="S75" s="6"/>
      <c r="T75" s="6"/>
      <c r="U75" s="6"/>
      <c r="V75" s="24"/>
      <c r="W75"/>
      <c r="X75" s="1" t="s">
        <v>48</v>
      </c>
      <c r="Y75" s="6">
        <v>45210</v>
      </c>
      <c r="AA75" s="6"/>
      <c r="AB75"/>
      <c r="AC75"/>
      <c r="AD75" s="6"/>
      <c r="AE75" s="6"/>
      <c r="AF75" s="4">
        <f>AE75-V75</f>
        <v>0</v>
      </c>
      <c r="AG75" s="6">
        <v>45183</v>
      </c>
      <c r="AH75">
        <f>K75-AG75</f>
        <v>27</v>
      </c>
      <c r="AI75" s="6">
        <v>45189</v>
      </c>
      <c r="AJ75" s="6">
        <v>45214</v>
      </c>
      <c r="AK75" s="1" t="s">
        <v>142</v>
      </c>
      <c r="AL75" s="1" t="s">
        <v>181</v>
      </c>
    </row>
    <row r="76" spans="1:38" ht="32.1" customHeight="1" x14ac:dyDescent="0.25">
      <c r="A76" s="4">
        <v>36</v>
      </c>
      <c r="B76" s="1" t="s">
        <v>184</v>
      </c>
      <c r="C76" s="1" t="s">
        <v>39</v>
      </c>
      <c r="D76" s="11" t="s">
        <v>374</v>
      </c>
      <c r="E76" s="10" t="s">
        <v>185</v>
      </c>
      <c r="F76" s="10" t="s">
        <v>59</v>
      </c>
      <c r="G76" s="10" t="s">
        <v>60</v>
      </c>
      <c r="H76" s="5">
        <v>3</v>
      </c>
      <c r="I76" s="5">
        <v>2</v>
      </c>
      <c r="J76" s="21">
        <f>(I76/H76)</f>
        <v>0.66666666666666663</v>
      </c>
      <c r="K76" s="6">
        <v>45213</v>
      </c>
      <c r="L76">
        <v>41</v>
      </c>
      <c r="M76" s="1" t="s">
        <v>61</v>
      </c>
      <c r="P76" s="6"/>
      <c r="Q76" s="1" t="s">
        <v>62</v>
      </c>
      <c r="R76" s="6"/>
      <c r="S76" s="6"/>
      <c r="T76" s="6"/>
      <c r="U76" s="6"/>
      <c r="V76" s="24"/>
      <c r="W76"/>
      <c r="X76" s="1" t="s">
        <v>63</v>
      </c>
      <c r="Y76" s="6">
        <v>45213</v>
      </c>
      <c r="Z76" s="1" t="s">
        <v>64</v>
      </c>
      <c r="AA76" s="6">
        <v>45213</v>
      </c>
      <c r="AB76">
        <f>AA76-Y76</f>
        <v>0</v>
      </c>
      <c r="AC76">
        <f>AA76-K76</f>
        <v>0</v>
      </c>
      <c r="AD76" s="6">
        <v>45210</v>
      </c>
      <c r="AE76" s="6">
        <v>45210</v>
      </c>
      <c r="AF76" s="4"/>
      <c r="AG76" s="6">
        <v>45206</v>
      </c>
      <c r="AH76">
        <f>K76-AG76</f>
        <v>7</v>
      </c>
      <c r="AI76" s="6" t="s">
        <v>118</v>
      </c>
      <c r="AJ76" s="6"/>
      <c r="AK76" s="1" t="s">
        <v>142</v>
      </c>
      <c r="AL76" s="1" t="s">
        <v>186</v>
      </c>
    </row>
    <row r="77" spans="1:38" ht="32.1" customHeight="1" x14ac:dyDescent="0.25">
      <c r="A77" s="4">
        <v>4</v>
      </c>
      <c r="B77" s="1" t="s">
        <v>67</v>
      </c>
      <c r="C77" s="1" t="s">
        <v>68</v>
      </c>
      <c r="D77" s="11" t="s">
        <v>69</v>
      </c>
      <c r="F77" s="10" t="s">
        <v>70</v>
      </c>
      <c r="G77" s="10" t="s">
        <v>43</v>
      </c>
      <c r="H77" s="5"/>
      <c r="I77" s="5">
        <v>35</v>
      </c>
      <c r="J77" s="21"/>
      <c r="K77" s="6">
        <v>45214</v>
      </c>
      <c r="L77">
        <v>42</v>
      </c>
      <c r="M77" s="1" t="s">
        <v>44</v>
      </c>
      <c r="N77" s="1" t="s">
        <v>71</v>
      </c>
      <c r="O77" t="s">
        <v>72</v>
      </c>
      <c r="P77" s="6">
        <v>45211</v>
      </c>
      <c r="Q77" s="1" t="s">
        <v>47</v>
      </c>
      <c r="R77" s="6">
        <v>45215</v>
      </c>
      <c r="S77" s="6"/>
      <c r="T77" s="6">
        <v>45215</v>
      </c>
      <c r="U77" s="6"/>
      <c r="V77" s="24">
        <f>MIN(R77:U77)</f>
        <v>45215</v>
      </c>
      <c r="W77">
        <f>V77-K77</f>
        <v>1</v>
      </c>
      <c r="X77" s="1" t="s">
        <v>73</v>
      </c>
      <c r="Y77" s="6">
        <v>45218</v>
      </c>
      <c r="Z77" s="1" t="s">
        <v>74</v>
      </c>
      <c r="AA77" s="6">
        <v>45221</v>
      </c>
      <c r="AB77">
        <f>AA77-Y77</f>
        <v>3</v>
      </c>
      <c r="AC77">
        <f>AA77-K77</f>
        <v>7</v>
      </c>
      <c r="AD77" s="6">
        <v>45212</v>
      </c>
      <c r="AE77" s="6">
        <v>45212</v>
      </c>
      <c r="AF77" s="4">
        <f>AE77-V77</f>
        <v>-3</v>
      </c>
      <c r="AG77" s="6"/>
      <c r="AH77"/>
      <c r="AI77" s="6"/>
      <c r="AJ77" s="6">
        <v>45231</v>
      </c>
      <c r="AK77" s="6" t="s">
        <v>75</v>
      </c>
      <c r="AL77" s="6" t="s">
        <v>76</v>
      </c>
    </row>
    <row r="78" spans="1:38" ht="32.1" customHeight="1" x14ac:dyDescent="0.25">
      <c r="A78" s="4">
        <v>84</v>
      </c>
      <c r="B78" s="1" t="s">
        <v>198</v>
      </c>
      <c r="C78" s="1" t="s">
        <v>39</v>
      </c>
      <c r="D78" s="11" t="s">
        <v>314</v>
      </c>
      <c r="E78" s="13"/>
      <c r="F78" s="13" t="s">
        <v>129</v>
      </c>
      <c r="G78" s="13" t="s">
        <v>43</v>
      </c>
      <c r="H78" s="5">
        <v>27</v>
      </c>
      <c r="I78" s="5">
        <v>1</v>
      </c>
      <c r="J78" s="21">
        <f>(I78/H78)</f>
        <v>3.7037037037037035E-2</v>
      </c>
      <c r="K78" s="6">
        <v>45215</v>
      </c>
      <c r="L78">
        <v>42</v>
      </c>
      <c r="M78" s="1" t="s">
        <v>61</v>
      </c>
      <c r="P78" s="6"/>
      <c r="Q78" s="1" t="s">
        <v>47</v>
      </c>
      <c r="R78" s="6">
        <v>45216</v>
      </c>
      <c r="S78" s="6">
        <v>45216</v>
      </c>
      <c r="T78" s="6"/>
      <c r="U78" s="6"/>
      <c r="V78" s="24">
        <f>MIN(R78:U78)</f>
        <v>45216</v>
      </c>
      <c r="W78">
        <f>V78-K78</f>
        <v>1</v>
      </c>
      <c r="X78" s="1" t="s">
        <v>73</v>
      </c>
      <c r="Y78" s="6">
        <v>45216</v>
      </c>
      <c r="Z78" s="1" t="s">
        <v>64</v>
      </c>
      <c r="AA78" s="6">
        <v>45216</v>
      </c>
      <c r="AB78">
        <f>AA78-Y78</f>
        <v>0</v>
      </c>
      <c r="AC78">
        <f>AA78-K78</f>
        <v>1</v>
      </c>
      <c r="AD78" s="6">
        <v>45215</v>
      </c>
      <c r="AE78" s="6">
        <v>45215</v>
      </c>
      <c r="AF78" s="4">
        <f>AE78-V78</f>
        <v>-1</v>
      </c>
      <c r="AG78" s="6">
        <v>45211</v>
      </c>
      <c r="AH78">
        <f>K78-AG78</f>
        <v>4</v>
      </c>
      <c r="AI78" s="6" t="s">
        <v>118</v>
      </c>
      <c r="AJ78" s="6">
        <v>45235</v>
      </c>
      <c r="AK78" s="1" t="s">
        <v>175</v>
      </c>
    </row>
    <row r="79" spans="1:38" ht="32.1" customHeight="1" x14ac:dyDescent="0.25">
      <c r="A79" s="4">
        <v>37</v>
      </c>
      <c r="B79" s="1" t="s">
        <v>177</v>
      </c>
      <c r="C79" s="1" t="s">
        <v>39</v>
      </c>
      <c r="D79" s="11" t="s">
        <v>375</v>
      </c>
      <c r="E79" s="10" t="s">
        <v>187</v>
      </c>
      <c r="F79" s="10" t="s">
        <v>59</v>
      </c>
      <c r="G79" s="10" t="s">
        <v>60</v>
      </c>
      <c r="H79" s="5">
        <v>12</v>
      </c>
      <c r="I79" s="5"/>
      <c r="J79" s="21"/>
      <c r="K79" s="6">
        <v>45216</v>
      </c>
      <c r="L79">
        <v>42</v>
      </c>
      <c r="M79" s="1" t="s">
        <v>61</v>
      </c>
      <c r="P79" s="6"/>
      <c r="Q79" s="1" t="s">
        <v>47</v>
      </c>
      <c r="R79" s="6">
        <v>45216</v>
      </c>
      <c r="S79" s="6"/>
      <c r="T79" s="6"/>
      <c r="U79" s="6"/>
      <c r="V79" s="24">
        <f>MIN(R79:U79)</f>
        <v>45216</v>
      </c>
      <c r="W79">
        <f>V79-K79</f>
        <v>0</v>
      </c>
      <c r="X79" s="1" t="s">
        <v>73</v>
      </c>
      <c r="Y79" s="6">
        <v>45217</v>
      </c>
      <c r="Z79" s="1" t="s">
        <v>64</v>
      </c>
      <c r="AA79" s="6">
        <v>45217</v>
      </c>
      <c r="AB79">
        <f>AA79-Y79</f>
        <v>0</v>
      </c>
      <c r="AC79">
        <f>AA79-K79</f>
        <v>1</v>
      </c>
      <c r="AD79" s="6">
        <v>45213</v>
      </c>
      <c r="AE79" s="6">
        <v>45213</v>
      </c>
      <c r="AF79" s="4">
        <f>AE79-V79</f>
        <v>-3</v>
      </c>
      <c r="AG79" s="6">
        <v>45206</v>
      </c>
      <c r="AH79">
        <f>K79-AG79</f>
        <v>10</v>
      </c>
      <c r="AI79" s="6" t="s">
        <v>65</v>
      </c>
      <c r="AJ79" s="6">
        <v>45232</v>
      </c>
      <c r="AK79" s="1" t="s">
        <v>170</v>
      </c>
      <c r="AL79" s="1" t="s">
        <v>188</v>
      </c>
    </row>
    <row r="80" spans="1:38" ht="32.1" customHeight="1" x14ac:dyDescent="0.25">
      <c r="A80" s="4">
        <v>38</v>
      </c>
      <c r="B80" s="1" t="s">
        <v>189</v>
      </c>
      <c r="C80" s="1" t="s">
        <v>39</v>
      </c>
      <c r="D80" s="11" t="s">
        <v>376</v>
      </c>
      <c r="E80" s="10" t="s">
        <v>190</v>
      </c>
      <c r="F80" s="10" t="s">
        <v>70</v>
      </c>
      <c r="G80" s="10" t="s">
        <v>43</v>
      </c>
      <c r="H80" s="5"/>
      <c r="I80" s="5"/>
      <c r="J80" s="21"/>
      <c r="K80" s="6">
        <v>45218</v>
      </c>
      <c r="L80">
        <v>42</v>
      </c>
      <c r="M80" s="1" t="s">
        <v>61</v>
      </c>
      <c r="P80" s="6"/>
      <c r="Q80" s="1" t="s">
        <v>47</v>
      </c>
      <c r="R80" s="6">
        <v>45218</v>
      </c>
      <c r="S80" s="6"/>
      <c r="T80" s="6"/>
      <c r="U80" s="6">
        <v>45218</v>
      </c>
      <c r="V80" s="24">
        <f>MIN(R80:U80)</f>
        <v>45218</v>
      </c>
      <c r="W80">
        <f>V80-K80</f>
        <v>0</v>
      </c>
      <c r="X80" s="1" t="s">
        <v>48</v>
      </c>
      <c r="Y80" s="6">
        <v>45219</v>
      </c>
      <c r="AA80" s="6"/>
      <c r="AB80"/>
      <c r="AC80"/>
      <c r="AD80" s="6">
        <v>45218</v>
      </c>
      <c r="AE80" s="6"/>
      <c r="AF80" s="4"/>
      <c r="AG80" s="6">
        <v>45214</v>
      </c>
      <c r="AH80">
        <f>K80-AG80</f>
        <v>4</v>
      </c>
      <c r="AI80" s="6">
        <v>45217</v>
      </c>
      <c r="AJ80" s="6">
        <v>45220</v>
      </c>
      <c r="AK80" s="1" t="s">
        <v>170</v>
      </c>
      <c r="AL80" s="1" t="s">
        <v>191</v>
      </c>
    </row>
    <row r="81" spans="1:38" ht="32.1" customHeight="1" x14ac:dyDescent="0.25">
      <c r="A81" s="4">
        <v>39</v>
      </c>
      <c r="B81" s="1" t="s">
        <v>180</v>
      </c>
      <c r="C81" s="1" t="s">
        <v>39</v>
      </c>
      <c r="D81" s="11" t="s">
        <v>377</v>
      </c>
      <c r="G81" s="10" t="s">
        <v>43</v>
      </c>
      <c r="H81" s="5">
        <v>1</v>
      </c>
      <c r="I81" s="5"/>
      <c r="J81" s="21"/>
      <c r="K81" s="6">
        <v>45225</v>
      </c>
      <c r="L81">
        <v>43</v>
      </c>
      <c r="M81" s="1" t="s">
        <v>110</v>
      </c>
      <c r="P81" s="6"/>
      <c r="Q81" s="1" t="s">
        <v>62</v>
      </c>
      <c r="R81" s="6"/>
      <c r="S81" s="6"/>
      <c r="T81" s="6"/>
      <c r="U81" s="6"/>
      <c r="V81" s="24"/>
      <c r="W81"/>
      <c r="X81" s="1" t="s">
        <v>73</v>
      </c>
      <c r="Y81" s="6">
        <v>45225</v>
      </c>
      <c r="Z81" s="1" t="s">
        <v>94</v>
      </c>
      <c r="AA81" s="6">
        <v>45225</v>
      </c>
      <c r="AB81">
        <f>AA81-Y81</f>
        <v>0</v>
      </c>
      <c r="AC81">
        <f>AA81-K81</f>
        <v>0</v>
      </c>
      <c r="AD81" s="6">
        <v>45206</v>
      </c>
      <c r="AE81" s="6">
        <v>45206</v>
      </c>
      <c r="AF81" s="4"/>
      <c r="AG81" s="6" t="s">
        <v>118</v>
      </c>
      <c r="AH81"/>
      <c r="AI81" s="6">
        <v>45225</v>
      </c>
      <c r="AJ81" s="6">
        <v>44954</v>
      </c>
      <c r="AK81" s="1" t="s">
        <v>142</v>
      </c>
    </row>
    <row r="82" spans="1:38" ht="32.1" customHeight="1" x14ac:dyDescent="0.25">
      <c r="A82" s="4">
        <v>16</v>
      </c>
      <c r="B82" s="1" t="s">
        <v>132</v>
      </c>
      <c r="C82" s="1" t="s">
        <v>39</v>
      </c>
      <c r="D82" s="11" t="s">
        <v>133</v>
      </c>
      <c r="F82" s="10" t="s">
        <v>134</v>
      </c>
      <c r="G82" s="10" t="s">
        <v>135</v>
      </c>
      <c r="H82" s="5">
        <v>1000</v>
      </c>
      <c r="I82" s="5">
        <v>115</v>
      </c>
      <c r="J82" s="22">
        <f>(I82/H82)</f>
        <v>0.115</v>
      </c>
      <c r="K82" s="6">
        <v>45234</v>
      </c>
      <c r="L82">
        <v>45</v>
      </c>
      <c r="M82" s="1" t="s">
        <v>44</v>
      </c>
      <c r="N82" s="1" t="s">
        <v>103</v>
      </c>
      <c r="O82" t="s">
        <v>361</v>
      </c>
      <c r="P82" s="6">
        <v>45233</v>
      </c>
      <c r="Q82" s="1" t="s">
        <v>47</v>
      </c>
      <c r="R82" s="6"/>
      <c r="S82" s="6">
        <v>45235</v>
      </c>
      <c r="T82" s="6">
        <v>45235</v>
      </c>
      <c r="U82" s="6"/>
      <c r="V82" s="24">
        <f t="shared" ref="V82:V88" si="17">MIN(R82:U82)</f>
        <v>45235</v>
      </c>
      <c r="W82">
        <f t="shared" ref="W82:W88" si="18">V82-K82</f>
        <v>1</v>
      </c>
      <c r="X82" s="1" t="s">
        <v>48</v>
      </c>
      <c r="Y82" s="6">
        <v>45242</v>
      </c>
      <c r="AA82" s="6"/>
      <c r="AB82"/>
      <c r="AC82"/>
      <c r="AD82" s="6">
        <v>45235</v>
      </c>
      <c r="AE82" s="6"/>
      <c r="AF82" s="4"/>
      <c r="AG82" s="6"/>
      <c r="AH82"/>
      <c r="AI82" s="6" t="s">
        <v>126</v>
      </c>
      <c r="AJ82" s="6">
        <v>45242</v>
      </c>
      <c r="AK82" s="1" t="s">
        <v>100</v>
      </c>
      <c r="AL82" s="1" t="s">
        <v>136</v>
      </c>
    </row>
    <row r="83" spans="1:38" ht="32.1" customHeight="1" x14ac:dyDescent="0.25">
      <c r="A83" s="4">
        <v>85</v>
      </c>
      <c r="B83" s="1" t="s">
        <v>77</v>
      </c>
      <c r="C83" s="1" t="s">
        <v>52</v>
      </c>
      <c r="D83" s="11" t="s">
        <v>315</v>
      </c>
      <c r="F83" s="10" t="s">
        <v>199</v>
      </c>
      <c r="G83" s="10" t="s">
        <v>200</v>
      </c>
      <c r="H83" s="5"/>
      <c r="I83" s="5"/>
      <c r="J83" s="21"/>
      <c r="K83" s="6">
        <v>45241</v>
      </c>
      <c r="L83">
        <v>45</v>
      </c>
      <c r="M83" s="1" t="s">
        <v>157</v>
      </c>
      <c r="O83" s="7"/>
      <c r="P83" s="6"/>
      <c r="Q83" s="1" t="s">
        <v>47</v>
      </c>
      <c r="R83" s="6">
        <v>45241</v>
      </c>
      <c r="S83" s="6"/>
      <c r="T83" s="6"/>
      <c r="U83" s="6"/>
      <c r="V83" s="24">
        <f t="shared" si="17"/>
        <v>45241</v>
      </c>
      <c r="W83">
        <f t="shared" si="18"/>
        <v>0</v>
      </c>
      <c r="X83" s="1" t="s">
        <v>48</v>
      </c>
      <c r="Y83" s="6">
        <v>45243</v>
      </c>
      <c r="AA83" s="6"/>
      <c r="AB83"/>
      <c r="AC83"/>
      <c r="AD83" s="6">
        <v>45241</v>
      </c>
      <c r="AE83" s="6">
        <v>45241</v>
      </c>
      <c r="AF83" s="4">
        <f>AE83-V83</f>
        <v>0</v>
      </c>
      <c r="AG83" s="6"/>
      <c r="AH83"/>
      <c r="AI83" s="6" t="s">
        <v>118</v>
      </c>
      <c r="AJ83" s="6">
        <v>45257</v>
      </c>
      <c r="AK83" s="1" t="s">
        <v>55</v>
      </c>
      <c r="AL83" s="1" t="s">
        <v>316</v>
      </c>
    </row>
    <row r="84" spans="1:38" ht="32.1" customHeight="1" x14ac:dyDescent="0.25">
      <c r="A84" s="4">
        <v>21</v>
      </c>
      <c r="B84" s="1" t="s">
        <v>137</v>
      </c>
      <c r="C84" s="1" t="s">
        <v>39</v>
      </c>
      <c r="D84" s="11" t="s">
        <v>146</v>
      </c>
      <c r="G84" s="10" t="s">
        <v>60</v>
      </c>
      <c r="H84" s="5"/>
      <c r="I84" s="5" t="s">
        <v>147</v>
      </c>
      <c r="J84" s="21"/>
      <c r="K84" s="6">
        <v>45253</v>
      </c>
      <c r="L84">
        <v>48</v>
      </c>
      <c r="M84" s="1" t="s">
        <v>148</v>
      </c>
      <c r="O84"/>
      <c r="P84" s="6"/>
      <c r="Q84" s="1" t="s">
        <v>47</v>
      </c>
      <c r="R84" s="6">
        <v>45255</v>
      </c>
      <c r="S84" s="6"/>
      <c r="T84" s="6">
        <v>45260</v>
      </c>
      <c r="U84" s="6">
        <v>45261</v>
      </c>
      <c r="V84" s="24">
        <f t="shared" si="17"/>
        <v>45255</v>
      </c>
      <c r="W84">
        <f t="shared" si="18"/>
        <v>2</v>
      </c>
      <c r="X84" s="1" t="s">
        <v>63</v>
      </c>
      <c r="Y84" s="6">
        <v>45261</v>
      </c>
      <c r="Z84" s="1" t="s">
        <v>94</v>
      </c>
      <c r="AA84" s="6">
        <v>45261</v>
      </c>
      <c r="AB84">
        <f>AA84-Y84</f>
        <v>0</v>
      </c>
      <c r="AC84">
        <f>AA84-K84</f>
        <v>8</v>
      </c>
      <c r="AD84" s="6"/>
      <c r="AE84" s="6"/>
      <c r="AF84" s="4"/>
      <c r="AG84" s="6" t="s">
        <v>126</v>
      </c>
      <c r="AH84"/>
      <c r="AI84" s="6" t="s">
        <v>126</v>
      </c>
      <c r="AJ84" s="6"/>
      <c r="AK84" s="1" t="s">
        <v>49</v>
      </c>
    </row>
    <row r="85" spans="1:38" ht="32.1" customHeight="1" x14ac:dyDescent="0.25">
      <c r="A85" s="4">
        <v>5</v>
      </c>
      <c r="B85" s="1" t="s">
        <v>77</v>
      </c>
      <c r="C85" s="1" t="s">
        <v>52</v>
      </c>
      <c r="D85" s="11" t="s">
        <v>357</v>
      </c>
      <c r="E85" s="10" t="s">
        <v>78</v>
      </c>
      <c r="F85" s="10" t="s">
        <v>79</v>
      </c>
      <c r="G85" s="10" t="s">
        <v>80</v>
      </c>
      <c r="H85" s="5" t="s">
        <v>81</v>
      </c>
      <c r="I85" s="5" t="s">
        <v>81</v>
      </c>
      <c r="J85" s="21"/>
      <c r="K85" s="6">
        <v>45263</v>
      </c>
      <c r="L85">
        <v>49</v>
      </c>
      <c r="M85" s="1" t="s">
        <v>82</v>
      </c>
      <c r="O85"/>
      <c r="P85" s="6"/>
      <c r="Q85" s="1" t="s">
        <v>47</v>
      </c>
      <c r="R85" s="6">
        <v>45264</v>
      </c>
      <c r="S85" s="6"/>
      <c r="T85" s="6"/>
      <c r="U85" s="6"/>
      <c r="V85" s="24">
        <f t="shared" si="17"/>
        <v>45264</v>
      </c>
      <c r="W85">
        <f t="shared" si="18"/>
        <v>1</v>
      </c>
      <c r="X85" s="1" t="s">
        <v>83</v>
      </c>
      <c r="Y85" s="6">
        <v>44933</v>
      </c>
      <c r="AA85" s="6"/>
      <c r="AB85"/>
      <c r="AC85"/>
      <c r="AD85" s="6">
        <v>45256</v>
      </c>
      <c r="AE85" s="6"/>
      <c r="AF85" s="4"/>
      <c r="AG85" s="6"/>
      <c r="AH85"/>
      <c r="AI85" s="6"/>
      <c r="AJ85" s="6"/>
      <c r="AK85" s="1" t="s">
        <v>55</v>
      </c>
      <c r="AL85" s="1" t="s">
        <v>84</v>
      </c>
    </row>
    <row r="86" spans="1:38" ht="32.1" customHeight="1" x14ac:dyDescent="0.25">
      <c r="A86" s="4">
        <v>40</v>
      </c>
      <c r="B86" s="1" t="s">
        <v>192</v>
      </c>
      <c r="C86" s="1" t="s">
        <v>68</v>
      </c>
      <c r="D86" s="11" t="s">
        <v>378</v>
      </c>
      <c r="E86" s="10" t="s">
        <v>193</v>
      </c>
      <c r="F86" s="10" t="s">
        <v>70</v>
      </c>
      <c r="G86" s="10" t="s">
        <v>43</v>
      </c>
      <c r="H86" s="5"/>
      <c r="I86" s="5">
        <v>57</v>
      </c>
      <c r="J86" s="21"/>
      <c r="K86" s="6">
        <v>45273</v>
      </c>
      <c r="L86">
        <v>50</v>
      </c>
      <c r="M86" s="1" t="s">
        <v>179</v>
      </c>
      <c r="O86"/>
      <c r="P86" s="6"/>
      <c r="Q86" s="1" t="s">
        <v>47</v>
      </c>
      <c r="R86" s="6"/>
      <c r="S86" s="6"/>
      <c r="T86" s="6">
        <v>45274</v>
      </c>
      <c r="U86" s="6"/>
      <c r="V86" s="24">
        <f t="shared" si="17"/>
        <v>45274</v>
      </c>
      <c r="W86">
        <f t="shared" si="18"/>
        <v>1</v>
      </c>
      <c r="X86" s="1" t="s">
        <v>73</v>
      </c>
      <c r="Y86" s="6">
        <v>45274</v>
      </c>
      <c r="Z86" s="1" t="s">
        <v>94</v>
      </c>
      <c r="AA86" s="6">
        <v>45274</v>
      </c>
      <c r="AB86">
        <f>AA86-Y86</f>
        <v>0</v>
      </c>
      <c r="AC86">
        <f>AA86-K86</f>
        <v>1</v>
      </c>
      <c r="AD86" s="6">
        <v>45276</v>
      </c>
      <c r="AE86" s="6">
        <v>45276</v>
      </c>
      <c r="AF86" s="4">
        <f>AE86-V86</f>
        <v>2</v>
      </c>
      <c r="AG86" s="6"/>
      <c r="AH86"/>
      <c r="AI86" s="6"/>
      <c r="AJ86" s="6">
        <v>45290</v>
      </c>
      <c r="AK86" s="1" t="s">
        <v>75</v>
      </c>
    </row>
    <row r="87" spans="1:38" ht="32.1" customHeight="1" x14ac:dyDescent="0.25">
      <c r="A87" s="4">
        <v>41</v>
      </c>
      <c r="B87" s="1" t="s">
        <v>194</v>
      </c>
      <c r="C87" s="1" t="s">
        <v>39</v>
      </c>
      <c r="D87" s="11" t="s">
        <v>195</v>
      </c>
      <c r="F87" s="10" t="s">
        <v>59</v>
      </c>
      <c r="G87" s="10" t="s">
        <v>60</v>
      </c>
      <c r="H87" s="5"/>
      <c r="I87" s="5"/>
      <c r="J87" s="21"/>
      <c r="K87" s="6">
        <v>45273</v>
      </c>
      <c r="L87">
        <v>50</v>
      </c>
      <c r="M87" s="1" t="s">
        <v>110</v>
      </c>
      <c r="O87"/>
      <c r="P87" s="6"/>
      <c r="Q87" s="1" t="s">
        <v>47</v>
      </c>
      <c r="R87" s="6">
        <v>45274</v>
      </c>
      <c r="S87" s="6">
        <v>45274</v>
      </c>
      <c r="T87" s="6"/>
      <c r="U87" s="6"/>
      <c r="V87" s="24">
        <f t="shared" si="17"/>
        <v>45274</v>
      </c>
      <c r="W87">
        <f t="shared" si="18"/>
        <v>1</v>
      </c>
      <c r="X87" s="1" t="s">
        <v>73</v>
      </c>
      <c r="Y87" s="6">
        <v>45274</v>
      </c>
      <c r="Z87" s="1" t="s">
        <v>94</v>
      </c>
      <c r="AA87" s="6">
        <v>45274</v>
      </c>
      <c r="AB87">
        <f>AA87-Y87</f>
        <v>0</v>
      </c>
      <c r="AC87">
        <f>AA87-K87</f>
        <v>1</v>
      </c>
      <c r="AD87" s="6">
        <v>45274</v>
      </c>
      <c r="AE87" s="6" t="s">
        <v>118</v>
      </c>
      <c r="AF87" s="4"/>
      <c r="AG87" s="6" t="s">
        <v>118</v>
      </c>
      <c r="AH87"/>
      <c r="AI87" s="6" t="s">
        <v>126</v>
      </c>
      <c r="AJ87" s="6"/>
      <c r="AK87" s="1" t="s">
        <v>196</v>
      </c>
      <c r="AL87" s="1" t="s">
        <v>197</v>
      </c>
    </row>
    <row r="88" spans="1:38" ht="32.1" customHeight="1" x14ac:dyDescent="0.25">
      <c r="A88" s="4">
        <v>42</v>
      </c>
      <c r="B88" s="1" t="s">
        <v>198</v>
      </c>
      <c r="C88" s="1" t="s">
        <v>39</v>
      </c>
      <c r="D88" s="11" t="s">
        <v>379</v>
      </c>
      <c r="F88" s="10" t="s">
        <v>199</v>
      </c>
      <c r="G88" s="10" t="s">
        <v>200</v>
      </c>
      <c r="H88" s="5"/>
      <c r="I88" s="5">
        <v>4</v>
      </c>
      <c r="J88" s="21"/>
      <c r="K88" s="6">
        <v>45283</v>
      </c>
      <c r="L88">
        <v>51</v>
      </c>
      <c r="M88" s="1" t="s">
        <v>61</v>
      </c>
      <c r="P88" s="6"/>
      <c r="Q88" s="1" t="s">
        <v>47</v>
      </c>
      <c r="R88" s="6">
        <v>45283</v>
      </c>
      <c r="S88" s="6"/>
      <c r="T88" s="6"/>
      <c r="U88" s="6"/>
      <c r="V88" s="24">
        <f t="shared" si="17"/>
        <v>45283</v>
      </c>
      <c r="W88">
        <f t="shared" si="18"/>
        <v>0</v>
      </c>
      <c r="X88" s="1" t="s">
        <v>48</v>
      </c>
      <c r="Y88" s="6">
        <v>45283</v>
      </c>
      <c r="AA88" s="6"/>
      <c r="AB88"/>
      <c r="AC88"/>
      <c r="AD88" s="6">
        <v>45282</v>
      </c>
      <c r="AE88" s="6"/>
      <c r="AF88" s="4"/>
      <c r="AG88" s="6">
        <v>45250</v>
      </c>
      <c r="AH88">
        <f>K88-AG88</f>
        <v>33</v>
      </c>
      <c r="AI88" s="6" t="s">
        <v>65</v>
      </c>
      <c r="AJ88" s="6">
        <v>44928</v>
      </c>
      <c r="AK88" s="1" t="s">
        <v>49</v>
      </c>
      <c r="AL88" s="1" t="s">
        <v>201</v>
      </c>
    </row>
    <row r="89" spans="1:38" x14ac:dyDescent="0.25">
      <c r="D89" s="11"/>
      <c r="H89" s="5"/>
      <c r="I89" s="5"/>
      <c r="J89" s="5"/>
      <c r="K89" s="6"/>
      <c r="L89" s="6"/>
      <c r="T89" s="6"/>
      <c r="U89" s="6"/>
      <c r="V89" s="6"/>
      <c r="W89" s="6"/>
      <c r="Y89" s="6"/>
    </row>
    <row r="90" spans="1:38" x14ac:dyDescent="0.25">
      <c r="H90" s="5"/>
      <c r="I90" s="5"/>
      <c r="J90" s="5"/>
      <c r="K90" s="6"/>
      <c r="L90" s="6"/>
      <c r="T90" s="6"/>
      <c r="U90" s="6"/>
      <c r="V90" s="6"/>
      <c r="W90" s="6"/>
      <c r="X90" s="6"/>
      <c r="Y90" s="6"/>
    </row>
    <row r="91" spans="1:38" x14ac:dyDescent="0.25">
      <c r="H91" s="5"/>
      <c r="I91" s="5"/>
      <c r="J91" s="5"/>
      <c r="K91" s="6"/>
      <c r="L91" s="6"/>
      <c r="T91" s="6"/>
      <c r="U91" s="6"/>
      <c r="V91" s="6"/>
      <c r="W91" s="6"/>
      <c r="X91" s="6"/>
      <c r="Y91" s="6"/>
    </row>
    <row r="92" spans="1:38" x14ac:dyDescent="0.25">
      <c r="H92" s="5"/>
      <c r="I92" s="5"/>
      <c r="J92" s="5"/>
      <c r="K92" s="6"/>
      <c r="L92" s="6"/>
      <c r="T92" s="6"/>
      <c r="U92" s="6"/>
      <c r="V92" s="6"/>
      <c r="W92" s="6"/>
      <c r="X92" s="6"/>
      <c r="Y92" s="6"/>
    </row>
    <row r="93" spans="1:38" x14ac:dyDescent="0.25">
      <c r="H93" s="5"/>
      <c r="I93" s="5"/>
      <c r="J93" s="5"/>
      <c r="K93" s="6"/>
      <c r="L93" s="6"/>
      <c r="T93" s="6"/>
      <c r="U93" s="6"/>
      <c r="V93" s="6"/>
      <c r="W93" s="6"/>
      <c r="X93" s="6"/>
      <c r="Y93" s="6"/>
    </row>
    <row r="94" spans="1:38" x14ac:dyDescent="0.25">
      <c r="H94" s="5"/>
      <c r="I94" s="5"/>
      <c r="J94" s="5"/>
      <c r="K94" s="6"/>
      <c r="L94" s="6"/>
      <c r="T94" s="6"/>
      <c r="U94" s="6"/>
      <c r="V94" s="6"/>
      <c r="W94" s="6"/>
      <c r="X94" s="6"/>
      <c r="Y94" s="6"/>
    </row>
    <row r="95" spans="1:38" x14ac:dyDescent="0.25">
      <c r="H95" s="5"/>
      <c r="I95" s="5"/>
      <c r="J95" s="5"/>
      <c r="K95" s="6"/>
      <c r="L95" s="6"/>
      <c r="T95" s="6"/>
      <c r="U95" s="6"/>
      <c r="V95" s="6"/>
      <c r="W95" s="6"/>
      <c r="X95" s="6"/>
      <c r="Y95" s="6"/>
    </row>
    <row r="96" spans="1:38" x14ac:dyDescent="0.25">
      <c r="H96" s="5"/>
      <c r="I96" s="5"/>
      <c r="J96" s="5"/>
      <c r="K96" s="6"/>
      <c r="L96" s="6"/>
      <c r="T96" s="6"/>
      <c r="U96" s="6"/>
      <c r="V96" s="6"/>
      <c r="W96" s="6"/>
      <c r="X96" s="6"/>
      <c r="Y96" s="6"/>
    </row>
    <row r="97" spans="8:25" x14ac:dyDescent="0.25">
      <c r="H97" s="5"/>
      <c r="I97" s="5"/>
      <c r="J97" s="5"/>
      <c r="K97" s="6"/>
      <c r="L97" s="6"/>
      <c r="T97" s="6"/>
      <c r="U97" s="6"/>
      <c r="V97" s="6"/>
      <c r="W97" s="6"/>
      <c r="X97" s="6"/>
      <c r="Y97" s="6"/>
    </row>
    <row r="98" spans="8:25" x14ac:dyDescent="0.25">
      <c r="H98" s="5"/>
      <c r="I98" s="5"/>
      <c r="J98" s="5"/>
      <c r="K98" s="6"/>
      <c r="L98" s="6"/>
      <c r="T98" s="6"/>
      <c r="U98" s="6"/>
      <c r="V98" s="6"/>
      <c r="W98" s="6"/>
      <c r="X98" s="6"/>
      <c r="Y98" s="6"/>
    </row>
    <row r="99" spans="8:25" x14ac:dyDescent="0.25">
      <c r="H99" s="5"/>
      <c r="I99" s="5"/>
      <c r="J99" s="5"/>
      <c r="K99" s="6"/>
      <c r="L99" s="6"/>
      <c r="T99" s="6"/>
      <c r="U99" s="6"/>
      <c r="V99" s="6"/>
      <c r="W99" s="6"/>
      <c r="X99" s="6"/>
      <c r="Y99" s="6"/>
    </row>
    <row r="100" spans="8:25" x14ac:dyDescent="0.25">
      <c r="H100" s="5"/>
      <c r="I100" s="5"/>
      <c r="J100" s="5"/>
      <c r="K100" s="6"/>
      <c r="L100" s="6"/>
      <c r="T100" s="6"/>
      <c r="U100" s="6"/>
      <c r="V100" s="6"/>
      <c r="W100" s="6"/>
      <c r="X100" s="6"/>
      <c r="Y100" s="6"/>
    </row>
    <row r="101" spans="8:25" x14ac:dyDescent="0.25">
      <c r="H101" s="5"/>
      <c r="I101" s="5"/>
      <c r="J101" s="5"/>
      <c r="K101" s="6"/>
      <c r="L101" s="6"/>
      <c r="T101" s="6"/>
      <c r="U101" s="6"/>
      <c r="V101" s="6"/>
      <c r="W101" s="6"/>
      <c r="X101" s="6"/>
      <c r="Y101" s="6"/>
    </row>
    <row r="102" spans="8:25" x14ac:dyDescent="0.25">
      <c r="H102" s="5"/>
      <c r="I102" s="5"/>
      <c r="J102" s="5"/>
      <c r="K102" s="6"/>
      <c r="L102" s="6"/>
      <c r="T102" s="6"/>
      <c r="U102" s="6"/>
      <c r="V102" s="6"/>
      <c r="W102" s="6"/>
      <c r="X102" s="6"/>
      <c r="Y102" s="6"/>
    </row>
    <row r="103" spans="8:25" x14ac:dyDescent="0.25">
      <c r="H103" s="5"/>
      <c r="I103" s="5"/>
      <c r="J103" s="5"/>
      <c r="K103" s="6"/>
      <c r="L103" s="6"/>
      <c r="T103" s="6"/>
      <c r="U103" s="6"/>
      <c r="V103" s="6"/>
      <c r="W103" s="6"/>
      <c r="X103" s="6"/>
      <c r="Y103" s="6"/>
    </row>
    <row r="104" spans="8:25" x14ac:dyDescent="0.25">
      <c r="H104" s="5"/>
      <c r="I104" s="5"/>
      <c r="J104" s="5"/>
      <c r="K104" s="6"/>
      <c r="L104" s="6"/>
      <c r="T104" s="6"/>
      <c r="U104" s="6"/>
      <c r="V104" s="6"/>
      <c r="W104" s="6"/>
      <c r="X104" s="6"/>
      <c r="Y104" s="6"/>
    </row>
    <row r="105" spans="8:25" x14ac:dyDescent="0.25">
      <c r="H105" s="5"/>
      <c r="I105" s="5"/>
      <c r="J105" s="5"/>
      <c r="K105" s="6"/>
      <c r="L105" s="6"/>
      <c r="T105" s="6"/>
      <c r="U105" s="6"/>
      <c r="V105" s="6"/>
      <c r="W105" s="6"/>
      <c r="X105" s="6"/>
      <c r="Y105" s="6"/>
    </row>
    <row r="106" spans="8:25" x14ac:dyDescent="0.25">
      <c r="H106" s="5"/>
      <c r="I106" s="5"/>
      <c r="J106" s="5"/>
      <c r="K106" s="6"/>
      <c r="L106" s="6"/>
      <c r="T106" s="6"/>
      <c r="U106" s="6"/>
      <c r="V106" s="6"/>
      <c r="W106" s="6"/>
      <c r="X106" s="6"/>
      <c r="Y106" s="6"/>
    </row>
    <row r="107" spans="8:25" x14ac:dyDescent="0.25">
      <c r="H107" s="5"/>
      <c r="I107" s="5"/>
      <c r="J107" s="5"/>
      <c r="K107" s="6"/>
      <c r="L107" s="6"/>
      <c r="T107" s="6"/>
      <c r="U107" s="6"/>
      <c r="V107" s="6"/>
      <c r="W107" s="6"/>
      <c r="X107" s="6"/>
      <c r="Y107" s="6"/>
    </row>
    <row r="108" spans="8:25" x14ac:dyDescent="0.25">
      <c r="H108" s="5"/>
      <c r="I108" s="5"/>
      <c r="J108" s="5"/>
      <c r="K108" s="6"/>
      <c r="L108" s="6"/>
      <c r="T108" s="6"/>
      <c r="U108" s="6"/>
      <c r="V108" s="6"/>
      <c r="W108" s="6"/>
      <c r="X108" s="6"/>
      <c r="Y108" s="6"/>
    </row>
    <row r="109" spans="8:25" x14ac:dyDescent="0.25">
      <c r="H109" s="5"/>
      <c r="I109" s="5"/>
      <c r="J109" s="5"/>
      <c r="K109" s="6"/>
      <c r="L109" s="6"/>
      <c r="T109" s="6"/>
      <c r="U109" s="6"/>
      <c r="V109" s="6"/>
      <c r="W109" s="6"/>
      <c r="X109" s="6"/>
      <c r="Y109" s="6"/>
    </row>
    <row r="110" spans="8:25" x14ac:dyDescent="0.25">
      <c r="H110" s="5"/>
      <c r="I110" s="5"/>
      <c r="J110" s="5"/>
      <c r="K110" s="6"/>
      <c r="L110" s="6"/>
      <c r="T110" s="6"/>
      <c r="U110" s="6"/>
      <c r="V110" s="6"/>
      <c r="W110" s="6"/>
      <c r="X110" s="6"/>
      <c r="Y110" s="6"/>
    </row>
    <row r="111" spans="8:25" x14ac:dyDescent="0.25">
      <c r="H111" s="5"/>
      <c r="I111" s="5"/>
      <c r="J111" s="5"/>
      <c r="K111" s="6"/>
      <c r="L111" s="6"/>
      <c r="T111" s="6"/>
      <c r="U111" s="6"/>
      <c r="V111" s="6"/>
      <c r="W111" s="6"/>
      <c r="X111" s="6"/>
      <c r="Y111" s="6"/>
    </row>
    <row r="112" spans="8:25" x14ac:dyDescent="0.25">
      <c r="H112" s="5"/>
      <c r="I112" s="5"/>
      <c r="J112" s="5"/>
      <c r="K112" s="6"/>
      <c r="L112" s="6"/>
      <c r="T112" s="6"/>
      <c r="U112" s="6"/>
      <c r="V112" s="6"/>
      <c r="W112" s="6"/>
      <c r="X112" s="6"/>
      <c r="Y112" s="6"/>
    </row>
    <row r="113" spans="8:25" x14ac:dyDescent="0.25">
      <c r="H113" s="5"/>
      <c r="I113" s="5"/>
      <c r="J113" s="5"/>
      <c r="K113" s="6"/>
      <c r="L113" s="6"/>
      <c r="T113" s="6"/>
      <c r="U113" s="6"/>
      <c r="V113" s="6"/>
      <c r="W113" s="6"/>
      <c r="X113" s="6"/>
      <c r="Y113" s="6"/>
    </row>
    <row r="114" spans="8:25" x14ac:dyDescent="0.25">
      <c r="H114" s="5"/>
      <c r="I114" s="5"/>
      <c r="J114" s="5"/>
      <c r="K114" s="6"/>
      <c r="L114" s="6"/>
      <c r="T114" s="6"/>
      <c r="U114" s="6"/>
      <c r="V114" s="6"/>
      <c r="W114" s="6"/>
      <c r="X114" s="6"/>
      <c r="Y114" s="6"/>
    </row>
    <row r="115" spans="8:25" x14ac:dyDescent="0.25">
      <c r="H115" s="5"/>
      <c r="I115" s="5"/>
      <c r="J115" s="5"/>
      <c r="K115" s="6"/>
      <c r="L115" s="6"/>
      <c r="T115" s="6"/>
      <c r="U115" s="6"/>
      <c r="V115" s="6"/>
      <c r="W115" s="6"/>
      <c r="X115" s="6"/>
      <c r="Y115" s="6"/>
    </row>
    <row r="116" spans="8:25" x14ac:dyDescent="0.25">
      <c r="H116" s="5"/>
      <c r="I116" s="5"/>
      <c r="J116" s="5"/>
      <c r="K116" s="6"/>
      <c r="L116" s="6"/>
      <c r="T116" s="6"/>
      <c r="U116" s="6"/>
      <c r="V116" s="6"/>
      <c r="W116" s="6"/>
      <c r="X116" s="6"/>
      <c r="Y116" s="6"/>
    </row>
    <row r="117" spans="8:25" x14ac:dyDescent="0.25">
      <c r="H117" s="5"/>
      <c r="I117" s="5"/>
      <c r="J117" s="5"/>
      <c r="K117" s="6"/>
      <c r="L117" s="6"/>
      <c r="T117" s="6"/>
      <c r="U117" s="6"/>
      <c r="V117" s="6"/>
      <c r="W117" s="6"/>
      <c r="X117" s="6"/>
      <c r="Y117" s="6"/>
    </row>
    <row r="118" spans="8:25" x14ac:dyDescent="0.25">
      <c r="H118" s="5"/>
      <c r="I118" s="5"/>
      <c r="J118" s="5"/>
      <c r="K118" s="6"/>
      <c r="L118" s="6"/>
      <c r="T118" s="6"/>
      <c r="U118" s="6"/>
      <c r="V118" s="6"/>
      <c r="W118" s="6"/>
      <c r="X118" s="6"/>
      <c r="Y118" s="6"/>
    </row>
    <row r="119" spans="8:25" x14ac:dyDescent="0.25">
      <c r="H119" s="5"/>
      <c r="I119" s="5"/>
      <c r="J119" s="5"/>
      <c r="K119" s="6"/>
      <c r="L119" s="6"/>
      <c r="T119" s="6"/>
      <c r="U119" s="6"/>
      <c r="V119" s="6"/>
      <c r="W119" s="6"/>
      <c r="X119" s="6"/>
      <c r="Y119" s="6"/>
    </row>
    <row r="120" spans="8:25" x14ac:dyDescent="0.25">
      <c r="H120" s="5"/>
      <c r="I120" s="5"/>
      <c r="J120" s="5"/>
      <c r="K120" s="6"/>
      <c r="L120" s="6"/>
      <c r="T120" s="6"/>
      <c r="U120" s="6"/>
      <c r="V120" s="6"/>
      <c r="W120" s="6"/>
      <c r="X120" s="6"/>
      <c r="Y120" s="6"/>
    </row>
    <row r="121" spans="8:25" x14ac:dyDescent="0.25">
      <c r="H121" s="5"/>
      <c r="I121" s="5"/>
      <c r="J121" s="5"/>
      <c r="K121" s="6"/>
      <c r="L121" s="6"/>
      <c r="T121" s="6"/>
      <c r="U121" s="6"/>
      <c r="V121" s="6"/>
      <c r="W121" s="6"/>
      <c r="X121" s="6"/>
      <c r="Y121" s="6"/>
    </row>
    <row r="122" spans="8:25" x14ac:dyDescent="0.25">
      <c r="H122" s="5"/>
      <c r="I122" s="5"/>
      <c r="J122" s="5"/>
      <c r="K122" s="6"/>
      <c r="L122" s="6"/>
      <c r="T122" s="6"/>
      <c r="U122" s="6"/>
      <c r="V122" s="6"/>
      <c r="W122" s="6"/>
      <c r="X122" s="6"/>
      <c r="Y122" s="6"/>
    </row>
    <row r="123" spans="8:25" x14ac:dyDescent="0.25">
      <c r="H123" s="5"/>
      <c r="I123" s="5"/>
      <c r="J123" s="5"/>
      <c r="K123" s="6"/>
      <c r="L123" s="6"/>
      <c r="T123" s="6"/>
      <c r="U123" s="6"/>
      <c r="V123" s="6"/>
      <c r="W123" s="6"/>
      <c r="X123" s="6"/>
      <c r="Y123" s="6"/>
    </row>
    <row r="124" spans="8:25" x14ac:dyDescent="0.25">
      <c r="H124" s="5"/>
      <c r="I124" s="5"/>
      <c r="J124" s="5"/>
      <c r="K124" s="6"/>
      <c r="L124" s="6"/>
      <c r="T124" s="6"/>
      <c r="U124" s="6"/>
      <c r="V124" s="6"/>
      <c r="W124" s="6"/>
      <c r="X124" s="6"/>
      <c r="Y124" s="6"/>
    </row>
    <row r="125" spans="8:25" x14ac:dyDescent="0.25">
      <c r="H125" s="5"/>
      <c r="I125" s="5"/>
      <c r="J125" s="5"/>
      <c r="K125" s="6"/>
      <c r="L125" s="6"/>
      <c r="T125" s="6"/>
      <c r="U125" s="6"/>
      <c r="V125" s="6"/>
      <c r="W125" s="6"/>
      <c r="X125" s="6"/>
      <c r="Y125" s="6"/>
    </row>
    <row r="126" spans="8:25" x14ac:dyDescent="0.25">
      <c r="H126" s="5"/>
      <c r="I126" s="5"/>
      <c r="J126" s="5"/>
      <c r="K126" s="6"/>
      <c r="L126" s="6"/>
      <c r="T126" s="6"/>
      <c r="U126" s="6"/>
      <c r="V126" s="6"/>
      <c r="W126" s="6"/>
      <c r="X126" s="6"/>
      <c r="Y126" s="6"/>
    </row>
    <row r="127" spans="8:25" x14ac:dyDescent="0.25">
      <c r="H127" s="5"/>
      <c r="I127" s="5"/>
      <c r="J127" s="5"/>
      <c r="K127" s="6"/>
      <c r="L127" s="6"/>
      <c r="T127" s="6"/>
      <c r="U127" s="6"/>
      <c r="V127" s="6"/>
      <c r="W127" s="6"/>
      <c r="X127" s="6"/>
      <c r="Y127" s="6"/>
    </row>
    <row r="128" spans="8:25" x14ac:dyDescent="0.25">
      <c r="H128" s="5"/>
      <c r="I128" s="5"/>
      <c r="J128" s="5"/>
      <c r="K128" s="6"/>
      <c r="L128" s="6"/>
      <c r="T128" s="6"/>
      <c r="U128" s="6"/>
      <c r="V128" s="6"/>
      <c r="W128" s="6"/>
      <c r="X128" s="6"/>
      <c r="Y128" s="6"/>
    </row>
    <row r="129" spans="8:25" x14ac:dyDescent="0.25">
      <c r="H129" s="5"/>
      <c r="I129" s="5"/>
      <c r="J129" s="5"/>
      <c r="K129" s="6"/>
      <c r="L129" s="6"/>
      <c r="T129" s="6"/>
      <c r="U129" s="6"/>
      <c r="V129" s="6"/>
      <c r="W129" s="6"/>
      <c r="X129" s="6"/>
      <c r="Y129" s="6"/>
    </row>
    <row r="130" spans="8:25" x14ac:dyDescent="0.25">
      <c r="H130" s="5"/>
      <c r="I130" s="5"/>
      <c r="J130" s="5"/>
      <c r="K130" s="6"/>
      <c r="L130" s="6"/>
      <c r="T130" s="6"/>
      <c r="U130" s="6"/>
      <c r="V130" s="6"/>
      <c r="W130" s="6"/>
      <c r="X130" s="6"/>
      <c r="Y130" s="6"/>
    </row>
    <row r="131" spans="8:25" x14ac:dyDescent="0.25">
      <c r="H131" s="5"/>
      <c r="I131" s="5"/>
      <c r="J131" s="5"/>
      <c r="K131" s="6"/>
      <c r="L131" s="6"/>
      <c r="T131" s="6"/>
      <c r="U131" s="6"/>
      <c r="V131" s="6"/>
      <c r="W131" s="6"/>
      <c r="X131" s="6"/>
      <c r="Y131" s="6"/>
    </row>
    <row r="132" spans="8:25" x14ac:dyDescent="0.25">
      <c r="H132" s="5"/>
      <c r="I132" s="5"/>
      <c r="J132" s="5"/>
      <c r="K132" s="6"/>
      <c r="L132" s="6"/>
      <c r="T132" s="6"/>
      <c r="U132" s="6"/>
      <c r="V132" s="6"/>
      <c r="W132" s="6"/>
      <c r="X132" s="6"/>
      <c r="Y132" s="6"/>
    </row>
    <row r="133" spans="8:25" x14ac:dyDescent="0.25">
      <c r="H133" s="5"/>
      <c r="I133" s="5"/>
      <c r="J133" s="5"/>
      <c r="K133" s="6"/>
      <c r="L133" s="6"/>
      <c r="T133" s="6"/>
      <c r="U133" s="6"/>
      <c r="V133" s="6"/>
      <c r="W133" s="6"/>
      <c r="X133" s="6"/>
      <c r="Y133" s="6"/>
    </row>
    <row r="134" spans="8:25" x14ac:dyDescent="0.25">
      <c r="H134" s="5"/>
      <c r="I134" s="5"/>
      <c r="J134" s="5"/>
      <c r="K134" s="6"/>
      <c r="L134" s="6"/>
      <c r="T134" s="6"/>
      <c r="U134" s="6"/>
      <c r="V134" s="6"/>
      <c r="W134" s="6"/>
      <c r="X134" s="6"/>
      <c r="Y134" s="6"/>
    </row>
    <row r="135" spans="8:25" x14ac:dyDescent="0.25">
      <c r="H135" s="5"/>
      <c r="I135" s="5"/>
      <c r="J135" s="5"/>
      <c r="K135" s="6"/>
      <c r="L135" s="6"/>
      <c r="T135" s="6"/>
      <c r="U135" s="6"/>
      <c r="V135" s="6"/>
      <c r="W135" s="6"/>
      <c r="X135" s="6"/>
      <c r="Y135" s="6"/>
    </row>
    <row r="136" spans="8:25" x14ac:dyDescent="0.25">
      <c r="H136" s="5"/>
      <c r="I136" s="5"/>
      <c r="J136" s="5"/>
      <c r="K136" s="6"/>
      <c r="L136" s="6"/>
      <c r="T136" s="6"/>
      <c r="U136" s="6"/>
      <c r="V136" s="6"/>
      <c r="W136" s="6"/>
      <c r="X136" s="6"/>
      <c r="Y136" s="6"/>
    </row>
    <row r="137" spans="8:25" x14ac:dyDescent="0.25">
      <c r="H137" s="5"/>
      <c r="I137" s="5"/>
      <c r="J137" s="5"/>
      <c r="K137" s="6"/>
      <c r="L137" s="6"/>
      <c r="T137" s="6"/>
      <c r="U137" s="6"/>
      <c r="V137" s="6"/>
      <c r="W137" s="6"/>
      <c r="X137" s="6"/>
      <c r="Y137" s="6"/>
    </row>
    <row r="138" spans="8:25" x14ac:dyDescent="0.25">
      <c r="H138" s="5"/>
      <c r="I138" s="5"/>
      <c r="J138" s="5"/>
      <c r="K138" s="6"/>
      <c r="L138" s="6"/>
      <c r="T138" s="6"/>
      <c r="U138" s="6"/>
      <c r="V138" s="6"/>
      <c r="W138" s="6"/>
      <c r="X138" s="6"/>
      <c r="Y138" s="6"/>
    </row>
    <row r="139" spans="8:25" x14ac:dyDescent="0.25">
      <c r="H139" s="5"/>
      <c r="I139" s="5"/>
      <c r="J139" s="5"/>
      <c r="K139" s="6"/>
      <c r="L139" s="6"/>
      <c r="T139" s="6"/>
      <c r="U139" s="6"/>
      <c r="V139" s="6"/>
      <c r="W139" s="6"/>
      <c r="X139" s="6"/>
      <c r="Y139" s="6"/>
    </row>
    <row r="140" spans="8:25" x14ac:dyDescent="0.25">
      <c r="H140" s="5"/>
      <c r="I140" s="5"/>
      <c r="J140" s="5"/>
      <c r="K140" s="6"/>
      <c r="L140" s="6"/>
      <c r="T140" s="6"/>
      <c r="U140" s="6"/>
      <c r="V140" s="6"/>
      <c r="W140" s="6"/>
      <c r="X140" s="6"/>
      <c r="Y140" s="6"/>
    </row>
    <row r="141" spans="8:25" x14ac:dyDescent="0.25">
      <c r="H141" s="5"/>
      <c r="I141" s="5"/>
      <c r="J141" s="5"/>
      <c r="K141" s="6"/>
      <c r="L141" s="6"/>
      <c r="T141" s="6"/>
      <c r="U141" s="6"/>
      <c r="V141" s="6"/>
      <c r="W141" s="6"/>
      <c r="X141" s="6"/>
      <c r="Y141" s="6"/>
    </row>
    <row r="142" spans="8:25" x14ac:dyDescent="0.25">
      <c r="H142" s="5"/>
      <c r="I142" s="5"/>
      <c r="J142" s="5"/>
      <c r="K142" s="6"/>
      <c r="L142" s="6"/>
      <c r="T142" s="6"/>
      <c r="U142" s="6"/>
      <c r="V142" s="6"/>
      <c r="W142" s="6"/>
      <c r="X142" s="6"/>
      <c r="Y142" s="6"/>
    </row>
    <row r="143" spans="8:25" x14ac:dyDescent="0.25">
      <c r="H143" s="5"/>
      <c r="I143" s="5"/>
      <c r="J143" s="5"/>
      <c r="K143" s="6"/>
      <c r="L143" s="6"/>
      <c r="T143" s="6"/>
      <c r="U143" s="6"/>
      <c r="V143" s="6"/>
      <c r="W143" s="6"/>
      <c r="X143" s="6"/>
      <c r="Y143" s="6"/>
    </row>
    <row r="144" spans="8:25" x14ac:dyDescent="0.25">
      <c r="H144" s="5"/>
      <c r="I144" s="5"/>
      <c r="J144" s="5"/>
      <c r="K144" s="6"/>
      <c r="L144" s="6"/>
      <c r="T144" s="6"/>
      <c r="U144" s="6"/>
      <c r="V144" s="6"/>
      <c r="W144" s="6"/>
      <c r="X144" s="6"/>
      <c r="Y144" s="6"/>
    </row>
    <row r="145" spans="8:25" x14ac:dyDescent="0.25">
      <c r="H145" s="5"/>
      <c r="I145" s="5"/>
      <c r="J145" s="5"/>
      <c r="K145" s="6"/>
      <c r="L145" s="6"/>
      <c r="T145" s="6"/>
      <c r="U145" s="6"/>
      <c r="V145" s="6"/>
      <c r="W145" s="6"/>
      <c r="X145" s="6"/>
      <c r="Y145" s="6"/>
    </row>
    <row r="146" spans="8:25" x14ac:dyDescent="0.25">
      <c r="H146" s="5"/>
      <c r="I146" s="5"/>
      <c r="J146" s="5"/>
      <c r="K146" s="6"/>
      <c r="L146" s="6"/>
      <c r="T146" s="6"/>
      <c r="U146" s="6"/>
      <c r="V146" s="6"/>
      <c r="W146" s="6"/>
      <c r="X146" s="6"/>
      <c r="Y146" s="6"/>
    </row>
    <row r="147" spans="8:25" x14ac:dyDescent="0.25">
      <c r="H147" s="5"/>
      <c r="I147" s="5"/>
      <c r="J147" s="5"/>
      <c r="K147" s="6"/>
      <c r="L147" s="6"/>
      <c r="T147" s="6"/>
      <c r="U147" s="6"/>
      <c r="V147" s="6"/>
      <c r="W147" s="6"/>
      <c r="X147" s="6"/>
      <c r="Y147" s="6"/>
    </row>
    <row r="148" spans="8:25" x14ac:dyDescent="0.25">
      <c r="H148" s="5"/>
      <c r="I148" s="5"/>
      <c r="J148" s="5"/>
      <c r="K148" s="6"/>
      <c r="L148" s="6"/>
      <c r="T148" s="6"/>
      <c r="U148" s="6"/>
      <c r="V148" s="6"/>
      <c r="W148" s="6"/>
      <c r="X148" s="6"/>
      <c r="Y148" s="6"/>
    </row>
    <row r="149" spans="8:25" x14ac:dyDescent="0.25">
      <c r="H149" s="5"/>
      <c r="I149" s="5"/>
      <c r="J149" s="5"/>
      <c r="K149" s="6"/>
      <c r="L149" s="6"/>
      <c r="T149" s="6"/>
      <c r="U149" s="6"/>
      <c r="V149" s="6"/>
      <c r="W149" s="6"/>
      <c r="X149" s="6"/>
      <c r="Y149" s="6"/>
    </row>
    <row r="150" spans="8:25" x14ac:dyDescent="0.25">
      <c r="H150" s="5"/>
      <c r="I150" s="5"/>
      <c r="J150" s="5"/>
      <c r="K150" s="6"/>
      <c r="L150" s="6"/>
      <c r="T150" s="6"/>
      <c r="U150" s="6"/>
      <c r="V150" s="6"/>
      <c r="W150" s="6"/>
      <c r="X150" s="6"/>
      <c r="Y150" s="6"/>
    </row>
    <row r="151" spans="8:25" x14ac:dyDescent="0.25">
      <c r="H151" s="5"/>
      <c r="I151" s="5"/>
      <c r="J151" s="5"/>
      <c r="K151" s="6"/>
      <c r="L151" s="6"/>
      <c r="T151" s="6"/>
      <c r="U151" s="6"/>
      <c r="V151" s="6"/>
      <c r="W151" s="6"/>
      <c r="X151" s="6"/>
      <c r="Y151" s="6"/>
    </row>
    <row r="152" spans="8:25" x14ac:dyDescent="0.25">
      <c r="H152" s="5"/>
      <c r="I152" s="5"/>
      <c r="J152" s="5"/>
      <c r="K152" s="6"/>
      <c r="L152" s="6"/>
      <c r="T152" s="6"/>
      <c r="U152" s="6"/>
      <c r="V152" s="6"/>
      <c r="W152" s="6"/>
      <c r="X152" s="6"/>
      <c r="Y152" s="6"/>
    </row>
    <row r="153" spans="8:25" x14ac:dyDescent="0.25">
      <c r="H153" s="5"/>
      <c r="I153" s="5"/>
      <c r="J153" s="5"/>
      <c r="K153" s="6"/>
      <c r="L153" s="6"/>
      <c r="T153" s="6"/>
      <c r="U153" s="6"/>
      <c r="V153" s="6"/>
      <c r="W153" s="6"/>
      <c r="X153" s="6"/>
      <c r="Y153" s="6"/>
    </row>
    <row r="154" spans="8:25" x14ac:dyDescent="0.25">
      <c r="H154" s="5"/>
      <c r="I154" s="5"/>
      <c r="J154" s="5"/>
      <c r="K154" s="6"/>
      <c r="L154" s="6"/>
      <c r="T154" s="6"/>
      <c r="U154" s="6"/>
      <c r="V154" s="6"/>
      <c r="W154" s="6"/>
      <c r="X154" s="6"/>
      <c r="Y154" s="6"/>
    </row>
    <row r="155" spans="8:25" x14ac:dyDescent="0.25">
      <c r="H155" s="5"/>
      <c r="I155" s="5"/>
      <c r="J155" s="5"/>
      <c r="K155" s="6"/>
      <c r="L155" s="6"/>
      <c r="T155" s="6"/>
      <c r="U155" s="6"/>
      <c r="V155" s="6"/>
      <c r="W155" s="6"/>
      <c r="X155" s="6"/>
      <c r="Y155" s="6"/>
    </row>
    <row r="156" spans="8:25" x14ac:dyDescent="0.25">
      <c r="H156" s="5"/>
      <c r="I156" s="5"/>
      <c r="J156" s="5"/>
      <c r="K156" s="6"/>
      <c r="L156" s="6"/>
      <c r="T156" s="6"/>
      <c r="U156" s="6"/>
      <c r="V156" s="6"/>
      <c r="W156" s="6"/>
      <c r="X156" s="6"/>
      <c r="Y156" s="6"/>
    </row>
    <row r="157" spans="8:25" x14ac:dyDescent="0.25">
      <c r="H157" s="5"/>
      <c r="I157" s="5"/>
      <c r="J157" s="5"/>
      <c r="K157" s="6"/>
      <c r="L157" s="6"/>
      <c r="T157" s="6"/>
      <c r="U157" s="6"/>
      <c r="V157" s="6"/>
      <c r="W157" s="6"/>
      <c r="X157" s="6"/>
      <c r="Y157" s="6"/>
    </row>
    <row r="158" spans="8:25" x14ac:dyDescent="0.25">
      <c r="H158" s="5"/>
      <c r="I158" s="5"/>
      <c r="J158" s="5"/>
      <c r="K158" s="6"/>
      <c r="L158" s="6"/>
      <c r="T158" s="6"/>
      <c r="U158" s="6"/>
      <c r="V158" s="6"/>
      <c r="W158" s="6"/>
      <c r="X158" s="6"/>
      <c r="Y158" s="6"/>
    </row>
    <row r="159" spans="8:25" x14ac:dyDescent="0.25">
      <c r="H159" s="5"/>
      <c r="I159" s="5"/>
      <c r="J159" s="5"/>
      <c r="K159" s="6"/>
      <c r="L159" s="6"/>
      <c r="T159" s="6"/>
      <c r="U159" s="6"/>
      <c r="V159" s="6"/>
      <c r="W159" s="6"/>
      <c r="X159" s="6"/>
      <c r="Y159" s="6"/>
    </row>
    <row r="160" spans="8:25" x14ac:dyDescent="0.25">
      <c r="H160" s="5"/>
      <c r="I160" s="5"/>
      <c r="J160" s="5"/>
      <c r="K160" s="6"/>
      <c r="L160" s="6"/>
      <c r="T160" s="6"/>
      <c r="U160" s="6"/>
      <c r="V160" s="6"/>
      <c r="W160" s="6"/>
      <c r="X160" s="6"/>
      <c r="Y160" s="6"/>
    </row>
    <row r="161" spans="8:25" x14ac:dyDescent="0.25">
      <c r="H161" s="5"/>
      <c r="I161" s="5"/>
      <c r="J161" s="5"/>
      <c r="K161" s="6"/>
      <c r="L161" s="6"/>
      <c r="T161" s="6"/>
      <c r="U161" s="6"/>
      <c r="V161" s="6"/>
      <c r="W161" s="6"/>
      <c r="X161" s="6"/>
      <c r="Y161" s="6"/>
    </row>
    <row r="162" spans="8:25" x14ac:dyDescent="0.25">
      <c r="H162" s="5"/>
      <c r="I162" s="5"/>
      <c r="J162" s="5"/>
      <c r="K162" s="6"/>
      <c r="L162" s="6"/>
      <c r="T162" s="6"/>
      <c r="U162" s="6"/>
      <c r="V162" s="6"/>
      <c r="W162" s="6"/>
      <c r="X162" s="6"/>
      <c r="Y162" s="6"/>
    </row>
    <row r="163" spans="8:25" x14ac:dyDescent="0.25">
      <c r="H163" s="5"/>
      <c r="I163" s="5"/>
      <c r="J163" s="5"/>
      <c r="K163" s="6"/>
      <c r="L163" s="6"/>
      <c r="T163" s="6"/>
      <c r="U163" s="6"/>
      <c r="V163" s="6"/>
      <c r="W163" s="6"/>
      <c r="X163" s="6"/>
      <c r="Y163" s="6"/>
    </row>
    <row r="164" spans="8:25" x14ac:dyDescent="0.25">
      <c r="H164" s="5"/>
      <c r="I164" s="5"/>
      <c r="J164" s="5"/>
      <c r="K164" s="6"/>
      <c r="L164" s="6"/>
      <c r="T164" s="6"/>
      <c r="U164" s="6"/>
      <c r="V164" s="6"/>
      <c r="W164" s="6"/>
      <c r="X164" s="6"/>
      <c r="Y164" s="6"/>
    </row>
    <row r="165" spans="8:25" x14ac:dyDescent="0.25">
      <c r="H165" s="5"/>
      <c r="I165" s="5"/>
      <c r="J165" s="5"/>
      <c r="K165" s="6"/>
      <c r="L165" s="6"/>
      <c r="T165" s="6"/>
      <c r="U165" s="6"/>
      <c r="V165" s="6"/>
      <c r="W165" s="6"/>
      <c r="X165" s="6"/>
      <c r="Y165" s="6"/>
    </row>
    <row r="166" spans="8:25" x14ac:dyDescent="0.25">
      <c r="H166" s="5"/>
      <c r="I166" s="5"/>
      <c r="J166" s="5"/>
      <c r="K166" s="6"/>
      <c r="L166" s="6"/>
      <c r="T166" s="6"/>
      <c r="U166" s="6"/>
      <c r="V166" s="6"/>
      <c r="W166" s="6"/>
      <c r="X166" s="6"/>
      <c r="Y166" s="6"/>
    </row>
    <row r="167" spans="8:25" x14ac:dyDescent="0.25">
      <c r="H167" s="5"/>
      <c r="I167" s="5"/>
      <c r="J167" s="5"/>
      <c r="K167" s="6"/>
      <c r="L167" s="6"/>
      <c r="T167" s="6"/>
      <c r="U167" s="6"/>
      <c r="V167" s="6"/>
      <c r="W167" s="6"/>
      <c r="X167" s="6"/>
      <c r="Y167" s="6"/>
    </row>
    <row r="168" spans="8:25" x14ac:dyDescent="0.25">
      <c r="H168" s="5"/>
      <c r="I168" s="5"/>
      <c r="J168" s="5"/>
      <c r="K168" s="6"/>
      <c r="L168" s="6"/>
      <c r="T168" s="6"/>
      <c r="U168" s="6"/>
      <c r="V168" s="6"/>
      <c r="W168" s="6"/>
      <c r="X168" s="6"/>
      <c r="Y168" s="6"/>
    </row>
    <row r="169" spans="8:25" x14ac:dyDescent="0.25">
      <c r="H169" s="5"/>
      <c r="I169" s="5"/>
      <c r="J169" s="5"/>
      <c r="K169" s="6"/>
      <c r="L169" s="6"/>
      <c r="T169" s="6"/>
      <c r="U169" s="6"/>
      <c r="V169" s="6"/>
      <c r="W169" s="6"/>
      <c r="X169" s="6"/>
      <c r="Y169" s="6"/>
    </row>
    <row r="170" spans="8:25" x14ac:dyDescent="0.25">
      <c r="H170" s="5"/>
      <c r="I170" s="5"/>
      <c r="J170" s="5"/>
      <c r="K170" s="6"/>
      <c r="L170" s="6"/>
      <c r="T170" s="6"/>
      <c r="U170" s="6"/>
      <c r="V170" s="6"/>
      <c r="W170" s="6"/>
      <c r="X170" s="6"/>
      <c r="Y170" s="6"/>
    </row>
    <row r="171" spans="8:25" x14ac:dyDescent="0.25">
      <c r="H171" s="5"/>
      <c r="I171" s="5"/>
      <c r="J171" s="5"/>
      <c r="K171" s="6"/>
      <c r="L171" s="6"/>
      <c r="T171" s="6"/>
      <c r="U171" s="6"/>
      <c r="V171" s="6"/>
      <c r="W171" s="6"/>
      <c r="X171" s="6"/>
      <c r="Y171" s="6"/>
    </row>
    <row r="172" spans="8:25" x14ac:dyDescent="0.25">
      <c r="H172" s="5"/>
      <c r="I172" s="5"/>
      <c r="J172" s="5"/>
      <c r="K172" s="6"/>
      <c r="L172" s="6"/>
      <c r="T172" s="6"/>
      <c r="U172" s="6"/>
      <c r="V172" s="6"/>
      <c r="W172" s="6"/>
      <c r="X172" s="6"/>
      <c r="Y172" s="6"/>
    </row>
    <row r="173" spans="8:25" x14ac:dyDescent="0.25">
      <c r="H173" s="5"/>
      <c r="I173" s="5"/>
      <c r="J173" s="5"/>
      <c r="K173" s="6"/>
      <c r="L173" s="6"/>
      <c r="T173" s="6"/>
      <c r="U173" s="6"/>
      <c r="V173" s="6"/>
      <c r="W173" s="6"/>
      <c r="X173" s="6"/>
      <c r="Y173" s="6"/>
    </row>
    <row r="174" spans="8:25" x14ac:dyDescent="0.25">
      <c r="H174" s="5"/>
      <c r="I174" s="5"/>
      <c r="J174" s="5"/>
      <c r="K174" s="6"/>
      <c r="L174" s="6"/>
      <c r="T174" s="6"/>
      <c r="U174" s="6"/>
      <c r="V174" s="6"/>
      <c r="W174" s="6"/>
      <c r="X174" s="6"/>
      <c r="Y174" s="6"/>
    </row>
    <row r="175" spans="8:25" x14ac:dyDescent="0.25">
      <c r="H175" s="5"/>
      <c r="I175" s="5"/>
      <c r="J175" s="5"/>
      <c r="K175" s="6"/>
      <c r="L175" s="6"/>
      <c r="T175" s="6"/>
      <c r="U175" s="6"/>
      <c r="V175" s="6"/>
      <c r="W175" s="6"/>
      <c r="X175" s="6"/>
      <c r="Y175" s="6"/>
    </row>
    <row r="176" spans="8:25" x14ac:dyDescent="0.25">
      <c r="H176" s="5"/>
      <c r="I176" s="5"/>
      <c r="J176" s="5"/>
      <c r="K176" s="6"/>
      <c r="L176" s="6"/>
      <c r="T176" s="6"/>
      <c r="U176" s="6"/>
      <c r="V176" s="6"/>
      <c r="W176" s="6"/>
      <c r="X176" s="6"/>
      <c r="Y176" s="6"/>
    </row>
    <row r="177" spans="8:25" x14ac:dyDescent="0.25">
      <c r="H177" s="5"/>
      <c r="I177" s="5"/>
      <c r="J177" s="5"/>
      <c r="K177" s="6"/>
      <c r="L177" s="6"/>
      <c r="T177" s="6"/>
      <c r="U177" s="6"/>
      <c r="V177" s="6"/>
      <c r="W177" s="6"/>
      <c r="X177" s="6"/>
      <c r="Y177" s="6"/>
    </row>
    <row r="178" spans="8:25" x14ac:dyDescent="0.25">
      <c r="H178" s="5"/>
      <c r="I178" s="5"/>
      <c r="J178" s="5"/>
      <c r="K178" s="6"/>
      <c r="L178" s="6"/>
      <c r="T178" s="6"/>
      <c r="U178" s="6"/>
      <c r="V178" s="6"/>
      <c r="W178" s="6"/>
      <c r="X178" s="6"/>
      <c r="Y178" s="6"/>
    </row>
    <row r="179" spans="8:25" x14ac:dyDescent="0.25">
      <c r="H179" s="5"/>
      <c r="I179" s="5"/>
      <c r="J179" s="5"/>
      <c r="K179" s="6"/>
      <c r="L179" s="6"/>
      <c r="T179" s="6"/>
      <c r="U179" s="6"/>
      <c r="V179" s="6"/>
      <c r="W179" s="6"/>
      <c r="X179" s="6"/>
      <c r="Y179" s="6"/>
    </row>
    <row r="180" spans="8:25" x14ac:dyDescent="0.25">
      <c r="H180" s="5"/>
      <c r="I180" s="5"/>
      <c r="J180" s="5"/>
      <c r="K180" s="6"/>
      <c r="L180" s="6"/>
      <c r="T180" s="6"/>
      <c r="U180" s="6"/>
      <c r="V180" s="6"/>
      <c r="W180" s="6"/>
      <c r="X180" s="6"/>
      <c r="Y180" s="6"/>
    </row>
    <row r="181" spans="8:25" x14ac:dyDescent="0.25">
      <c r="H181" s="5"/>
      <c r="I181" s="5"/>
      <c r="J181" s="5"/>
      <c r="K181" s="6"/>
      <c r="L181" s="6"/>
      <c r="T181" s="6"/>
      <c r="U181" s="6"/>
      <c r="V181" s="6"/>
      <c r="W181" s="6"/>
      <c r="X181" s="6"/>
      <c r="Y181" s="6"/>
    </row>
    <row r="182" spans="8:25" x14ac:dyDescent="0.25">
      <c r="H182" s="5"/>
      <c r="I182" s="5"/>
      <c r="J182" s="5"/>
      <c r="K182" s="6"/>
      <c r="L182" s="6"/>
      <c r="T182" s="6"/>
      <c r="U182" s="6"/>
      <c r="V182" s="6"/>
      <c r="W182" s="6"/>
      <c r="X182" s="6"/>
      <c r="Y182" s="6"/>
    </row>
    <row r="183" spans="8:25" x14ac:dyDescent="0.25">
      <c r="H183" s="5"/>
      <c r="I183" s="5"/>
      <c r="J183" s="5"/>
      <c r="K183" s="6"/>
      <c r="L183" s="6"/>
      <c r="T183" s="6"/>
      <c r="U183" s="6"/>
      <c r="V183" s="6"/>
      <c r="W183" s="6"/>
      <c r="X183" s="6"/>
      <c r="Y183" s="6"/>
    </row>
    <row r="184" spans="8:25" x14ac:dyDescent="0.25">
      <c r="H184" s="5"/>
      <c r="I184" s="5"/>
      <c r="J184" s="5"/>
      <c r="K184" s="6"/>
      <c r="L184" s="6"/>
      <c r="T184" s="6"/>
      <c r="U184" s="6"/>
      <c r="V184" s="6"/>
      <c r="W184" s="6"/>
      <c r="X184" s="6"/>
      <c r="Y184" s="6"/>
    </row>
    <row r="185" spans="8:25" x14ac:dyDescent="0.25">
      <c r="H185" s="5"/>
      <c r="I185" s="5"/>
      <c r="J185" s="5"/>
      <c r="K185" s="6"/>
      <c r="L185" s="6"/>
      <c r="T185" s="6"/>
      <c r="U185" s="6"/>
      <c r="V185" s="6"/>
      <c r="W185" s="6"/>
      <c r="X185" s="6"/>
      <c r="Y185" s="6"/>
    </row>
    <row r="186" spans="8:25" x14ac:dyDescent="0.25">
      <c r="H186" s="5"/>
      <c r="I186" s="5"/>
      <c r="J186" s="5"/>
      <c r="K186" s="6"/>
      <c r="L186" s="6"/>
      <c r="T186" s="6"/>
      <c r="U186" s="6"/>
      <c r="V186" s="6"/>
      <c r="W186" s="6"/>
      <c r="X186" s="6"/>
      <c r="Y186" s="6"/>
    </row>
    <row r="187" spans="8:25" x14ac:dyDescent="0.25">
      <c r="H187" s="5"/>
      <c r="I187" s="5"/>
      <c r="J187" s="5"/>
      <c r="K187" s="6"/>
      <c r="L187" s="6"/>
      <c r="T187" s="6"/>
      <c r="U187" s="6"/>
      <c r="V187" s="6"/>
      <c r="W187" s="6"/>
      <c r="X187" s="6"/>
      <c r="Y187" s="6"/>
    </row>
    <row r="188" spans="8:25" x14ac:dyDescent="0.25">
      <c r="H188" s="5"/>
      <c r="I188" s="5"/>
      <c r="J188" s="5"/>
      <c r="K188" s="6"/>
      <c r="L188" s="6"/>
      <c r="T188" s="6"/>
      <c r="U188" s="6"/>
      <c r="V188" s="6"/>
      <c r="W188" s="6"/>
      <c r="X188" s="6"/>
      <c r="Y188" s="6"/>
    </row>
    <row r="189" spans="8:25" x14ac:dyDescent="0.25">
      <c r="H189" s="5"/>
      <c r="I189" s="5"/>
      <c r="J189" s="5"/>
      <c r="K189" s="6"/>
      <c r="L189" s="6"/>
      <c r="T189" s="6"/>
      <c r="U189" s="6"/>
      <c r="V189" s="6"/>
      <c r="W189" s="6"/>
      <c r="X189" s="6"/>
      <c r="Y189" s="6"/>
    </row>
    <row r="190" spans="8:25" x14ac:dyDescent="0.25">
      <c r="H190" s="5"/>
      <c r="I190" s="5"/>
      <c r="J190" s="5"/>
      <c r="K190" s="6"/>
      <c r="L190" s="6"/>
      <c r="T190" s="6"/>
      <c r="U190" s="6"/>
      <c r="V190" s="6"/>
      <c r="W190" s="6"/>
      <c r="X190" s="6"/>
      <c r="Y190" s="6"/>
    </row>
    <row r="191" spans="8:25" x14ac:dyDescent="0.25">
      <c r="H191" s="5"/>
      <c r="I191" s="5"/>
      <c r="J191" s="5"/>
      <c r="K191" s="6"/>
      <c r="L191" s="6"/>
      <c r="T191" s="6"/>
      <c r="U191" s="6"/>
      <c r="V191" s="6"/>
      <c r="W191" s="6"/>
      <c r="X191" s="6"/>
      <c r="Y191" s="6"/>
    </row>
    <row r="192" spans="8:25" x14ac:dyDescent="0.25">
      <c r="H192" s="5"/>
      <c r="I192" s="5"/>
      <c r="J192" s="5"/>
      <c r="K192" s="6"/>
      <c r="L192" s="6"/>
      <c r="T192" s="6"/>
      <c r="U192" s="6"/>
      <c r="V192" s="6"/>
      <c r="W192" s="6"/>
      <c r="X192" s="6"/>
      <c r="Y192" s="6"/>
    </row>
    <row r="193" spans="8:25" x14ac:dyDescent="0.25">
      <c r="H193" s="5"/>
      <c r="I193" s="5"/>
      <c r="J193" s="5"/>
      <c r="K193" s="6"/>
      <c r="L193" s="6"/>
      <c r="T193" s="6"/>
      <c r="U193" s="6"/>
      <c r="V193" s="6"/>
      <c r="W193" s="6"/>
      <c r="X193" s="6"/>
      <c r="Y193" s="6"/>
    </row>
    <row r="194" spans="8:25" x14ac:dyDescent="0.25">
      <c r="H194" s="5"/>
      <c r="I194" s="5"/>
      <c r="J194" s="5"/>
      <c r="K194" s="6"/>
      <c r="L194" s="6"/>
      <c r="T194" s="6"/>
      <c r="U194" s="6"/>
      <c r="V194" s="6"/>
      <c r="W194" s="6"/>
      <c r="X194" s="6"/>
      <c r="Y194" s="6"/>
    </row>
    <row r="195" spans="8:25" x14ac:dyDescent="0.25">
      <c r="H195" s="5"/>
      <c r="I195" s="5"/>
      <c r="J195" s="5"/>
      <c r="K195" s="6"/>
      <c r="L195" s="6"/>
      <c r="T195" s="6"/>
      <c r="U195" s="6"/>
      <c r="V195" s="6"/>
      <c r="W195" s="6"/>
      <c r="X195" s="6"/>
      <c r="Y195" s="6"/>
    </row>
    <row r="196" spans="8:25" x14ac:dyDescent="0.25">
      <c r="H196" s="5"/>
      <c r="I196" s="5"/>
      <c r="J196" s="5"/>
      <c r="K196" s="6"/>
      <c r="L196" s="6"/>
      <c r="T196" s="6"/>
      <c r="U196" s="6"/>
      <c r="V196" s="6"/>
      <c r="W196" s="6"/>
      <c r="X196" s="6"/>
      <c r="Y196" s="6"/>
    </row>
    <row r="197" spans="8:25" x14ac:dyDescent="0.25">
      <c r="H197" s="5"/>
      <c r="I197" s="5"/>
      <c r="J197" s="5"/>
      <c r="K197" s="6"/>
      <c r="L197" s="6"/>
      <c r="T197" s="6"/>
      <c r="U197" s="6"/>
      <c r="V197" s="6"/>
      <c r="W197" s="6"/>
      <c r="X197" s="6"/>
      <c r="Y197" s="6"/>
    </row>
    <row r="198" spans="8:25" x14ac:dyDescent="0.25">
      <c r="H198" s="5"/>
      <c r="I198" s="5"/>
      <c r="J198" s="5"/>
      <c r="K198" s="6"/>
      <c r="L198" s="6"/>
      <c r="T198" s="6"/>
      <c r="U198" s="6"/>
      <c r="V198" s="6"/>
      <c r="W198" s="6"/>
      <c r="X198" s="6"/>
      <c r="Y198" s="6"/>
    </row>
    <row r="199" spans="8:25" x14ac:dyDescent="0.25">
      <c r="H199" s="5"/>
      <c r="I199" s="5"/>
      <c r="J199" s="5"/>
      <c r="K199" s="6"/>
      <c r="L199" s="6"/>
      <c r="T199" s="6"/>
      <c r="U199" s="6"/>
      <c r="V199" s="6"/>
      <c r="W199" s="6"/>
      <c r="X199" s="6"/>
      <c r="Y199" s="6"/>
    </row>
    <row r="200" spans="8:25" x14ac:dyDescent="0.25">
      <c r="H200" s="5"/>
      <c r="I200" s="5"/>
      <c r="J200" s="5"/>
      <c r="K200" s="6"/>
      <c r="L200" s="6"/>
      <c r="T200" s="6"/>
      <c r="U200" s="6"/>
      <c r="V200" s="6"/>
      <c r="W200" s="6"/>
      <c r="X200" s="6"/>
      <c r="Y200" s="6"/>
    </row>
    <row r="201" spans="8:25" x14ac:dyDescent="0.25">
      <c r="H201" s="5"/>
      <c r="I201" s="5"/>
      <c r="J201" s="5"/>
      <c r="K201" s="6"/>
      <c r="L201" s="6"/>
      <c r="T201" s="6"/>
      <c r="U201" s="6"/>
      <c r="V201" s="6"/>
      <c r="W201" s="6"/>
      <c r="X201" s="6"/>
      <c r="Y201" s="6"/>
    </row>
    <row r="202" spans="8:25" x14ac:dyDescent="0.25">
      <c r="H202" s="5"/>
      <c r="I202" s="5"/>
      <c r="J202" s="5"/>
      <c r="K202" s="6"/>
      <c r="L202" s="6"/>
      <c r="T202" s="6"/>
      <c r="U202" s="6"/>
      <c r="V202" s="6"/>
      <c r="W202" s="6"/>
      <c r="X202" s="6"/>
      <c r="Y202" s="6"/>
    </row>
    <row r="203" spans="8:25" x14ac:dyDescent="0.25">
      <c r="H203" s="5"/>
      <c r="I203" s="5"/>
      <c r="J203" s="5"/>
      <c r="K203" s="6"/>
      <c r="L203" s="6"/>
      <c r="T203" s="6"/>
      <c r="U203" s="6"/>
      <c r="V203" s="6"/>
      <c r="W203" s="6"/>
      <c r="X203" s="6"/>
      <c r="Y203" s="6"/>
    </row>
    <row r="204" spans="8:25" x14ac:dyDescent="0.25">
      <c r="H204" s="5"/>
      <c r="I204" s="5"/>
      <c r="J204" s="5"/>
      <c r="K204" s="6"/>
      <c r="L204" s="6"/>
      <c r="T204" s="6"/>
      <c r="U204" s="6"/>
      <c r="V204" s="6"/>
      <c r="W204" s="6"/>
      <c r="X204" s="6"/>
      <c r="Y204" s="6"/>
    </row>
    <row r="205" spans="8:25" x14ac:dyDescent="0.25">
      <c r="H205" s="5"/>
      <c r="I205" s="5"/>
      <c r="J205" s="5"/>
      <c r="K205" s="6"/>
      <c r="L205" s="6"/>
      <c r="T205" s="6"/>
      <c r="U205" s="6"/>
      <c r="V205" s="6"/>
      <c r="W205" s="6"/>
      <c r="X205" s="6"/>
      <c r="Y205" s="6"/>
    </row>
    <row r="206" spans="8:25" x14ac:dyDescent="0.25">
      <c r="H206" s="5"/>
      <c r="I206" s="5"/>
      <c r="J206" s="5"/>
      <c r="K206" s="6"/>
      <c r="L206" s="6"/>
      <c r="T206" s="6"/>
      <c r="U206" s="6"/>
      <c r="V206" s="6"/>
      <c r="W206" s="6"/>
      <c r="X206" s="6"/>
      <c r="Y206" s="6"/>
    </row>
    <row r="207" spans="8:25" x14ac:dyDescent="0.25">
      <c r="H207" s="5"/>
      <c r="I207" s="5"/>
      <c r="J207" s="5"/>
      <c r="K207" s="6"/>
      <c r="L207" s="6"/>
      <c r="T207" s="6"/>
      <c r="U207" s="6"/>
      <c r="V207" s="6"/>
      <c r="W207" s="6"/>
      <c r="X207" s="6"/>
      <c r="Y207" s="6"/>
    </row>
    <row r="208" spans="8:25" x14ac:dyDescent="0.25">
      <c r="H208" s="5"/>
      <c r="I208" s="5"/>
      <c r="J208" s="5"/>
      <c r="K208" s="6"/>
      <c r="L208" s="6"/>
      <c r="T208" s="6"/>
      <c r="U208" s="6"/>
      <c r="V208" s="6"/>
      <c r="W208" s="6"/>
      <c r="X208" s="6"/>
      <c r="Y208" s="6"/>
    </row>
    <row r="209" spans="8:25" x14ac:dyDescent="0.25">
      <c r="H209" s="5"/>
      <c r="I209" s="5"/>
      <c r="J209" s="5"/>
      <c r="K209" s="6"/>
      <c r="L209" s="6"/>
      <c r="T209" s="6"/>
      <c r="U209" s="6"/>
      <c r="V209" s="6"/>
      <c r="W209" s="6"/>
      <c r="X209" s="6"/>
      <c r="Y209" s="6"/>
    </row>
    <row r="210" spans="8:25" x14ac:dyDescent="0.25">
      <c r="H210" s="5"/>
      <c r="I210" s="5"/>
      <c r="J210" s="5"/>
      <c r="K210" s="6"/>
      <c r="L210" s="6"/>
      <c r="T210" s="6"/>
      <c r="U210" s="6"/>
      <c r="V210" s="6"/>
      <c r="W210" s="6"/>
      <c r="X210" s="6"/>
      <c r="Y210" s="6"/>
    </row>
    <row r="211" spans="8:25" x14ac:dyDescent="0.25">
      <c r="H211" s="5"/>
      <c r="I211" s="5"/>
      <c r="J211" s="5"/>
      <c r="K211" s="6"/>
      <c r="L211" s="6"/>
      <c r="T211" s="6"/>
      <c r="U211" s="6"/>
      <c r="V211" s="6"/>
      <c r="W211" s="6"/>
      <c r="X211" s="6"/>
      <c r="Y211" s="6"/>
    </row>
    <row r="212" spans="8:25" x14ac:dyDescent="0.25">
      <c r="H212" s="5"/>
      <c r="I212" s="5"/>
      <c r="J212" s="5"/>
      <c r="K212" s="6"/>
      <c r="L212" s="6"/>
      <c r="T212" s="6"/>
      <c r="U212" s="6"/>
      <c r="V212" s="6"/>
      <c r="W212" s="6"/>
      <c r="X212" s="6"/>
      <c r="Y212" s="6"/>
    </row>
    <row r="213" spans="8:25" x14ac:dyDescent="0.25">
      <c r="H213" s="5"/>
      <c r="I213" s="5"/>
      <c r="J213" s="5"/>
      <c r="K213" s="6"/>
      <c r="L213" s="6"/>
      <c r="T213" s="6"/>
      <c r="U213" s="6"/>
      <c r="V213" s="6"/>
      <c r="W213" s="6"/>
      <c r="X213" s="6"/>
      <c r="Y213" s="6"/>
    </row>
    <row r="214" spans="8:25" x14ac:dyDescent="0.25">
      <c r="H214" s="5"/>
      <c r="I214" s="5"/>
      <c r="J214" s="5"/>
      <c r="K214" s="6"/>
      <c r="L214" s="6"/>
      <c r="T214" s="6"/>
      <c r="U214" s="6"/>
      <c r="V214" s="6"/>
      <c r="W214" s="6"/>
      <c r="X214" s="6"/>
      <c r="Y214" s="6"/>
    </row>
    <row r="215" spans="8:25" x14ac:dyDescent="0.25">
      <c r="H215" s="5"/>
      <c r="I215" s="5"/>
      <c r="J215" s="5"/>
      <c r="K215" s="6"/>
      <c r="L215" s="6"/>
      <c r="T215" s="6"/>
      <c r="U215" s="6"/>
      <c r="V215" s="6"/>
      <c r="W215" s="6"/>
      <c r="X215" s="6"/>
      <c r="Y215" s="6"/>
    </row>
    <row r="216" spans="8:25" x14ac:dyDescent="0.25">
      <c r="H216" s="5"/>
      <c r="I216" s="5"/>
      <c r="J216" s="5"/>
      <c r="K216" s="6"/>
      <c r="L216" s="6"/>
      <c r="T216" s="6"/>
      <c r="U216" s="6"/>
      <c r="V216" s="6"/>
      <c r="W216" s="6"/>
      <c r="X216" s="6"/>
      <c r="Y216" s="6"/>
    </row>
    <row r="217" spans="8:25" x14ac:dyDescent="0.25">
      <c r="H217" s="5"/>
      <c r="I217" s="5"/>
      <c r="J217" s="5"/>
      <c r="K217" s="6"/>
      <c r="L217" s="6"/>
      <c r="T217" s="6"/>
      <c r="U217" s="6"/>
      <c r="V217" s="6"/>
      <c r="W217" s="6"/>
      <c r="X217" s="6"/>
      <c r="Y217" s="6"/>
    </row>
    <row r="218" spans="8:25" x14ac:dyDescent="0.25">
      <c r="H218" s="5"/>
      <c r="I218" s="5"/>
      <c r="J218" s="5"/>
      <c r="K218" s="6"/>
      <c r="L218" s="6"/>
      <c r="T218" s="6"/>
      <c r="U218" s="6"/>
      <c r="V218" s="6"/>
      <c r="W218" s="6"/>
      <c r="X218" s="6"/>
      <c r="Y218" s="6"/>
    </row>
    <row r="219" spans="8:25" x14ac:dyDescent="0.25">
      <c r="H219" s="5"/>
      <c r="I219" s="5"/>
      <c r="J219" s="5"/>
      <c r="K219" s="6"/>
      <c r="L219" s="6"/>
      <c r="T219" s="6"/>
      <c r="U219" s="6"/>
      <c r="V219" s="6"/>
      <c r="W219" s="6"/>
      <c r="X219" s="6"/>
      <c r="Y219" s="6"/>
    </row>
    <row r="220" spans="8:25" x14ac:dyDescent="0.25">
      <c r="H220" s="5"/>
      <c r="I220" s="5"/>
      <c r="J220" s="5"/>
      <c r="K220" s="6"/>
      <c r="L220" s="6"/>
      <c r="T220" s="6"/>
      <c r="U220" s="6"/>
      <c r="V220" s="6"/>
      <c r="W220" s="6"/>
      <c r="X220" s="6"/>
      <c r="Y220" s="6"/>
    </row>
    <row r="221" spans="8:25" x14ac:dyDescent="0.25">
      <c r="H221" s="5"/>
      <c r="I221" s="5"/>
      <c r="J221" s="5"/>
      <c r="K221" s="6"/>
      <c r="L221" s="6"/>
      <c r="T221" s="6"/>
      <c r="U221" s="6"/>
      <c r="V221" s="6"/>
      <c r="W221" s="6"/>
      <c r="X221" s="6"/>
      <c r="Y221" s="6"/>
    </row>
    <row r="222" spans="8:25" x14ac:dyDescent="0.25">
      <c r="H222" s="5"/>
      <c r="I222" s="5"/>
      <c r="J222" s="5"/>
      <c r="K222" s="6"/>
      <c r="L222" s="6"/>
      <c r="T222" s="6"/>
      <c r="U222" s="6"/>
      <c r="V222" s="6"/>
      <c r="W222" s="6"/>
      <c r="X222" s="6"/>
      <c r="Y222" s="6"/>
    </row>
    <row r="223" spans="8:25" x14ac:dyDescent="0.25">
      <c r="H223" s="5"/>
      <c r="I223" s="5"/>
      <c r="J223" s="5"/>
      <c r="K223" s="6"/>
      <c r="L223" s="6"/>
      <c r="T223" s="6"/>
      <c r="U223" s="6"/>
      <c r="V223" s="6"/>
      <c r="W223" s="6"/>
      <c r="X223" s="6"/>
      <c r="Y223" s="6"/>
    </row>
    <row r="224" spans="8:25" x14ac:dyDescent="0.25">
      <c r="H224" s="5"/>
      <c r="I224" s="5"/>
      <c r="J224" s="5"/>
      <c r="K224" s="6"/>
      <c r="L224" s="6"/>
      <c r="T224" s="6"/>
      <c r="U224" s="6"/>
      <c r="V224" s="6"/>
      <c r="W224" s="6"/>
      <c r="X224" s="6"/>
      <c r="Y224" s="6"/>
    </row>
    <row r="225" spans="8:25" x14ac:dyDescent="0.25">
      <c r="H225" s="5"/>
      <c r="I225" s="5"/>
      <c r="J225" s="5"/>
      <c r="K225" s="6"/>
      <c r="L225" s="6"/>
      <c r="T225" s="6"/>
      <c r="U225" s="6"/>
      <c r="V225" s="6"/>
      <c r="W225" s="6"/>
      <c r="X225" s="6"/>
      <c r="Y225" s="6"/>
    </row>
    <row r="226" spans="8:25" x14ac:dyDescent="0.25">
      <c r="H226" s="5"/>
      <c r="I226" s="5"/>
      <c r="J226" s="5"/>
      <c r="K226" s="6"/>
      <c r="L226" s="6"/>
      <c r="T226" s="6"/>
      <c r="U226" s="6"/>
      <c r="V226" s="6"/>
      <c r="W226" s="6"/>
      <c r="X226" s="6"/>
      <c r="Y226" s="6"/>
    </row>
    <row r="227" spans="8:25" x14ac:dyDescent="0.25">
      <c r="H227" s="5"/>
      <c r="I227" s="5"/>
      <c r="J227" s="5"/>
      <c r="K227" s="6"/>
      <c r="L227" s="6"/>
      <c r="T227" s="6"/>
      <c r="U227" s="6"/>
      <c r="V227" s="6"/>
      <c r="W227" s="6"/>
      <c r="X227" s="6"/>
      <c r="Y227" s="6"/>
    </row>
    <row r="228" spans="8:25" x14ac:dyDescent="0.25">
      <c r="H228" s="5"/>
      <c r="I228" s="5"/>
      <c r="J228" s="5"/>
      <c r="K228" s="6"/>
      <c r="L228" s="6"/>
      <c r="T228" s="6"/>
      <c r="U228" s="6"/>
      <c r="V228" s="6"/>
      <c r="W228" s="6"/>
      <c r="X228" s="6"/>
      <c r="Y228" s="6"/>
    </row>
    <row r="229" spans="8:25" x14ac:dyDescent="0.25">
      <c r="H229" s="5"/>
      <c r="I229" s="5"/>
      <c r="J229" s="5"/>
      <c r="K229" s="6"/>
      <c r="L229" s="6"/>
      <c r="T229" s="6"/>
      <c r="U229" s="6"/>
      <c r="V229" s="6"/>
      <c r="W229" s="6"/>
      <c r="X229" s="6"/>
      <c r="Y229" s="6"/>
    </row>
    <row r="230" spans="8:25" x14ac:dyDescent="0.25">
      <c r="H230" s="5"/>
      <c r="I230" s="5"/>
      <c r="J230" s="5"/>
      <c r="K230" s="6"/>
      <c r="L230" s="6"/>
      <c r="T230" s="6"/>
      <c r="U230" s="6"/>
      <c r="V230" s="6"/>
      <c r="W230" s="6"/>
      <c r="X230" s="6"/>
      <c r="Y230" s="6"/>
    </row>
    <row r="231" spans="8:25" x14ac:dyDescent="0.25">
      <c r="H231" s="5"/>
      <c r="I231" s="5"/>
      <c r="J231" s="5"/>
      <c r="K231" s="6"/>
      <c r="L231" s="6"/>
      <c r="T231" s="6"/>
      <c r="U231" s="6"/>
      <c r="V231" s="6"/>
      <c r="W231" s="6"/>
      <c r="X231" s="6"/>
      <c r="Y231" s="6"/>
    </row>
    <row r="232" spans="8:25" x14ac:dyDescent="0.25">
      <c r="H232" s="5"/>
      <c r="I232" s="5"/>
      <c r="J232" s="5"/>
      <c r="K232" s="6"/>
      <c r="L232" s="6"/>
      <c r="T232" s="6"/>
      <c r="U232" s="6"/>
      <c r="V232" s="6"/>
      <c r="W232" s="6"/>
      <c r="X232" s="6"/>
      <c r="Y232" s="6"/>
    </row>
    <row r="233" spans="8:25" x14ac:dyDescent="0.25">
      <c r="H233" s="5"/>
      <c r="I233" s="5"/>
      <c r="J233" s="5"/>
      <c r="K233" s="6"/>
      <c r="L233" s="6"/>
      <c r="T233" s="6"/>
      <c r="U233" s="6"/>
      <c r="V233" s="6"/>
      <c r="W233" s="6"/>
      <c r="X233" s="6"/>
      <c r="Y233" s="6"/>
    </row>
    <row r="234" spans="8:25" x14ac:dyDescent="0.25">
      <c r="H234" s="5"/>
      <c r="I234" s="5"/>
      <c r="J234" s="5"/>
      <c r="K234" s="6"/>
      <c r="L234" s="6"/>
      <c r="T234" s="6"/>
      <c r="U234" s="6"/>
      <c r="V234" s="6"/>
      <c r="W234" s="6"/>
      <c r="X234" s="6"/>
      <c r="Y234" s="6"/>
    </row>
    <row r="235" spans="8:25" x14ac:dyDescent="0.25">
      <c r="H235" s="5"/>
      <c r="I235" s="5"/>
      <c r="J235" s="5"/>
      <c r="K235" s="6"/>
      <c r="L235" s="6"/>
      <c r="T235" s="6"/>
      <c r="U235" s="6"/>
      <c r="V235" s="6"/>
      <c r="W235" s="6"/>
      <c r="X235" s="6"/>
      <c r="Y235" s="6"/>
    </row>
    <row r="236" spans="8:25" x14ac:dyDescent="0.25">
      <c r="H236" s="5"/>
      <c r="I236" s="5"/>
      <c r="J236" s="5"/>
      <c r="K236" s="6"/>
      <c r="L236" s="6"/>
      <c r="T236" s="6"/>
      <c r="U236" s="6"/>
      <c r="V236" s="6"/>
      <c r="W236" s="6"/>
      <c r="X236" s="6"/>
      <c r="Y236" s="6"/>
    </row>
    <row r="237" spans="8:25" x14ac:dyDescent="0.25">
      <c r="H237" s="5"/>
      <c r="I237" s="5"/>
      <c r="J237" s="5"/>
      <c r="K237" s="6"/>
      <c r="L237" s="6"/>
      <c r="T237" s="6"/>
      <c r="U237" s="6"/>
      <c r="V237" s="6"/>
      <c r="W237" s="6"/>
      <c r="X237" s="6"/>
      <c r="Y237" s="6"/>
    </row>
    <row r="238" spans="8:25" x14ac:dyDescent="0.25">
      <c r="H238" s="5"/>
      <c r="I238" s="5"/>
      <c r="J238" s="5"/>
      <c r="K238" s="6"/>
      <c r="L238" s="6"/>
      <c r="T238" s="6"/>
      <c r="U238" s="6"/>
      <c r="V238" s="6"/>
      <c r="W238" s="6"/>
      <c r="X238" s="6"/>
      <c r="Y238" s="6"/>
    </row>
    <row r="239" spans="8:25" x14ac:dyDescent="0.25">
      <c r="H239" s="5"/>
      <c r="I239" s="5"/>
      <c r="J239" s="5"/>
      <c r="K239" s="6"/>
      <c r="L239" s="6"/>
      <c r="T239" s="6"/>
      <c r="U239" s="6"/>
      <c r="V239" s="6"/>
      <c r="W239" s="6"/>
      <c r="X239" s="6"/>
      <c r="Y239" s="6"/>
    </row>
    <row r="240" spans="8:25" x14ac:dyDescent="0.25">
      <c r="H240" s="5"/>
      <c r="I240" s="5"/>
      <c r="J240" s="5"/>
      <c r="K240" s="6"/>
      <c r="L240" s="6"/>
      <c r="T240" s="6"/>
      <c r="U240" s="6"/>
      <c r="V240" s="6"/>
      <c r="W240" s="6"/>
      <c r="X240" s="6"/>
      <c r="Y240" s="6"/>
    </row>
    <row r="241" spans="8:25" x14ac:dyDescent="0.25">
      <c r="H241" s="5"/>
      <c r="I241" s="5"/>
      <c r="J241" s="5"/>
      <c r="K241" s="6"/>
      <c r="L241" s="6"/>
      <c r="T241" s="6"/>
      <c r="U241" s="6"/>
      <c r="V241" s="6"/>
      <c r="W241" s="6"/>
      <c r="X241" s="6"/>
      <c r="Y241" s="6"/>
    </row>
    <row r="242" spans="8:25" x14ac:dyDescent="0.25">
      <c r="H242" s="5"/>
      <c r="I242" s="5"/>
      <c r="J242" s="5"/>
      <c r="K242" s="6"/>
      <c r="L242" s="6"/>
      <c r="T242" s="6"/>
      <c r="U242" s="6"/>
      <c r="V242" s="6"/>
      <c r="W242" s="6"/>
      <c r="X242" s="6"/>
      <c r="Y242" s="6"/>
    </row>
    <row r="243" spans="8:25" x14ac:dyDescent="0.25">
      <c r="H243" s="5"/>
      <c r="I243" s="5"/>
      <c r="J243" s="5"/>
      <c r="K243" s="6"/>
      <c r="L243" s="6"/>
      <c r="T243" s="6"/>
      <c r="U243" s="6"/>
      <c r="V243" s="6"/>
      <c r="W243" s="6"/>
      <c r="X243" s="6"/>
      <c r="Y243" s="6"/>
    </row>
    <row r="244" spans="8:25" x14ac:dyDescent="0.25">
      <c r="H244" s="5"/>
      <c r="I244" s="5"/>
      <c r="J244" s="5"/>
      <c r="K244" s="6"/>
      <c r="L244" s="6"/>
      <c r="T244" s="6"/>
      <c r="U244" s="6"/>
      <c r="V244" s="6"/>
      <c r="W244" s="6"/>
      <c r="X244" s="6"/>
      <c r="Y244" s="6"/>
    </row>
    <row r="245" spans="8:25" x14ac:dyDescent="0.25">
      <c r="H245" s="5"/>
      <c r="I245" s="5"/>
      <c r="J245" s="5"/>
      <c r="K245" s="6"/>
      <c r="L245" s="6"/>
      <c r="T245" s="6"/>
      <c r="U245" s="6"/>
      <c r="V245" s="6"/>
      <c r="W245" s="6"/>
      <c r="X245" s="6"/>
      <c r="Y245" s="6"/>
    </row>
    <row r="246" spans="8:25" x14ac:dyDescent="0.25">
      <c r="H246" s="5"/>
      <c r="I246" s="5"/>
      <c r="J246" s="5"/>
      <c r="K246" s="6"/>
      <c r="L246" s="6"/>
      <c r="T246" s="6"/>
      <c r="U246" s="6"/>
      <c r="V246" s="6"/>
      <c r="W246" s="6"/>
      <c r="X246" s="6"/>
      <c r="Y246" s="6"/>
    </row>
    <row r="247" spans="8:25" x14ac:dyDescent="0.25">
      <c r="H247" s="5"/>
      <c r="I247" s="5"/>
      <c r="J247" s="5"/>
      <c r="K247" s="6"/>
      <c r="L247" s="6"/>
      <c r="T247" s="6"/>
      <c r="U247" s="6"/>
      <c r="V247" s="6"/>
      <c r="W247" s="6"/>
      <c r="X247" s="6"/>
      <c r="Y247" s="6"/>
    </row>
    <row r="248" spans="8:25" x14ac:dyDescent="0.25">
      <c r="H248" s="5"/>
      <c r="I248" s="5"/>
      <c r="J248" s="5"/>
      <c r="K248" s="6"/>
      <c r="L248" s="6"/>
      <c r="T248" s="6"/>
      <c r="U248" s="6"/>
      <c r="V248" s="6"/>
      <c r="W248" s="6"/>
      <c r="X248" s="6"/>
      <c r="Y248" s="6"/>
    </row>
    <row r="249" spans="8:25" x14ac:dyDescent="0.25">
      <c r="H249" s="5"/>
      <c r="I249" s="5"/>
      <c r="J249" s="5"/>
      <c r="K249" s="6"/>
      <c r="L249" s="6"/>
      <c r="T249" s="6"/>
      <c r="U249" s="6"/>
      <c r="V249" s="6"/>
      <c r="W249" s="6"/>
      <c r="X249" s="6"/>
      <c r="Y249" s="6"/>
    </row>
    <row r="250" spans="8:25" x14ac:dyDescent="0.25">
      <c r="H250" s="5"/>
      <c r="I250" s="5"/>
      <c r="J250" s="5"/>
      <c r="K250" s="6"/>
      <c r="L250" s="6"/>
      <c r="T250" s="6"/>
      <c r="U250" s="6"/>
      <c r="V250" s="6"/>
      <c r="W250" s="6"/>
      <c r="X250" s="6"/>
      <c r="Y250" s="6"/>
    </row>
    <row r="251" spans="8:25" x14ac:dyDescent="0.25">
      <c r="H251" s="5"/>
      <c r="I251" s="5"/>
      <c r="J251" s="5"/>
      <c r="K251" s="6"/>
      <c r="L251" s="6"/>
      <c r="T251" s="6"/>
      <c r="U251" s="6"/>
      <c r="V251" s="6"/>
      <c r="W251" s="6"/>
      <c r="X251" s="6"/>
      <c r="Y251" s="6"/>
    </row>
    <row r="252" spans="8:25" x14ac:dyDescent="0.25">
      <c r="H252" s="5"/>
      <c r="I252" s="5"/>
      <c r="J252" s="5"/>
      <c r="K252" s="6"/>
      <c r="L252" s="6"/>
      <c r="T252" s="6"/>
      <c r="U252" s="6"/>
      <c r="V252" s="6"/>
      <c r="W252" s="6"/>
      <c r="X252" s="6"/>
      <c r="Y252" s="6"/>
    </row>
    <row r="253" spans="8:25" x14ac:dyDescent="0.25">
      <c r="H253" s="5"/>
      <c r="I253" s="5"/>
      <c r="J253" s="5"/>
      <c r="K253" s="6"/>
      <c r="L253" s="6"/>
      <c r="T253" s="6"/>
      <c r="U253" s="6"/>
      <c r="V253" s="6"/>
      <c r="W253" s="6"/>
      <c r="X253" s="6"/>
      <c r="Y253" s="6"/>
    </row>
    <row r="254" spans="8:25" x14ac:dyDescent="0.25">
      <c r="H254" s="5"/>
      <c r="I254" s="5"/>
      <c r="J254" s="5"/>
      <c r="K254" s="6"/>
      <c r="L254" s="6"/>
      <c r="T254" s="6"/>
      <c r="U254" s="6"/>
      <c r="V254" s="6"/>
      <c r="W254" s="6"/>
      <c r="X254" s="6"/>
      <c r="Y254" s="6"/>
    </row>
    <row r="255" spans="8:25" x14ac:dyDescent="0.25">
      <c r="H255" s="5"/>
      <c r="I255" s="5"/>
      <c r="J255" s="5"/>
      <c r="K255" s="6"/>
      <c r="L255" s="6"/>
      <c r="T255" s="6"/>
      <c r="U255" s="6"/>
      <c r="V255" s="6"/>
      <c r="W255" s="6"/>
      <c r="X255" s="6"/>
      <c r="Y255" s="6"/>
    </row>
    <row r="256" spans="8:25" x14ac:dyDescent="0.25">
      <c r="H256" s="5"/>
      <c r="I256" s="5"/>
      <c r="J256" s="5"/>
      <c r="K256" s="6"/>
      <c r="L256" s="6"/>
      <c r="T256" s="6"/>
      <c r="U256" s="6"/>
      <c r="V256" s="6"/>
      <c r="W256" s="6"/>
      <c r="X256" s="6"/>
      <c r="Y256" s="6"/>
    </row>
    <row r="257" spans="8:25" x14ac:dyDescent="0.25">
      <c r="H257" s="5"/>
      <c r="I257" s="5"/>
      <c r="J257" s="5"/>
      <c r="K257" s="6"/>
      <c r="L257" s="6"/>
      <c r="T257" s="6"/>
      <c r="U257" s="6"/>
      <c r="V257" s="6"/>
      <c r="W257" s="6"/>
      <c r="X257" s="6"/>
      <c r="Y257" s="6"/>
    </row>
    <row r="258" spans="8:25" x14ac:dyDescent="0.25">
      <c r="H258" s="5"/>
      <c r="I258" s="5"/>
      <c r="J258" s="5"/>
      <c r="K258" s="6"/>
      <c r="L258" s="6"/>
      <c r="T258" s="6"/>
      <c r="U258" s="6"/>
      <c r="V258" s="6"/>
      <c r="W258" s="6"/>
      <c r="X258" s="6"/>
      <c r="Y258" s="6"/>
    </row>
    <row r="259" spans="8:25" x14ac:dyDescent="0.25">
      <c r="H259" s="5"/>
      <c r="I259" s="5"/>
      <c r="J259" s="5"/>
      <c r="K259" s="6"/>
      <c r="L259" s="6"/>
      <c r="T259" s="6"/>
      <c r="U259" s="6"/>
      <c r="V259" s="6"/>
      <c r="W259" s="6"/>
      <c r="X259" s="6"/>
      <c r="Y259" s="6"/>
    </row>
    <row r="260" spans="8:25" x14ac:dyDescent="0.25">
      <c r="H260" s="5"/>
      <c r="I260" s="5"/>
      <c r="J260" s="5"/>
      <c r="K260" s="6"/>
      <c r="L260" s="6"/>
      <c r="T260" s="6"/>
      <c r="U260" s="6"/>
      <c r="V260" s="6"/>
      <c r="W260" s="6"/>
      <c r="X260" s="6"/>
      <c r="Y260" s="6"/>
    </row>
    <row r="261" spans="8:25" x14ac:dyDescent="0.25">
      <c r="H261" s="5"/>
      <c r="I261" s="5"/>
      <c r="J261" s="5"/>
      <c r="K261" s="6"/>
      <c r="L261" s="6"/>
      <c r="T261" s="6"/>
      <c r="U261" s="6"/>
      <c r="V261" s="6"/>
      <c r="W261" s="6"/>
      <c r="X261" s="6"/>
      <c r="Y261" s="6"/>
    </row>
    <row r="262" spans="8:25" x14ac:dyDescent="0.25">
      <c r="H262" s="5"/>
      <c r="I262" s="5"/>
      <c r="J262" s="5"/>
      <c r="K262" s="6"/>
      <c r="L262" s="6"/>
      <c r="T262" s="6"/>
      <c r="U262" s="6"/>
      <c r="V262" s="6"/>
      <c r="W262" s="6"/>
      <c r="X262" s="6"/>
      <c r="Y262" s="6"/>
    </row>
    <row r="263" spans="8:25" x14ac:dyDescent="0.25">
      <c r="H263" s="5"/>
      <c r="I263" s="5"/>
      <c r="J263" s="5"/>
      <c r="K263" s="6"/>
      <c r="L263" s="6"/>
      <c r="T263" s="6"/>
      <c r="U263" s="6"/>
      <c r="V263" s="6"/>
      <c r="W263" s="6"/>
      <c r="X263" s="6"/>
      <c r="Y263" s="6"/>
    </row>
    <row r="264" spans="8:25" x14ac:dyDescent="0.25">
      <c r="H264" s="5"/>
      <c r="I264" s="5"/>
      <c r="J264" s="5"/>
      <c r="K264" s="6"/>
      <c r="L264" s="6"/>
      <c r="T264" s="6"/>
      <c r="U264" s="6"/>
      <c r="V264" s="6"/>
      <c r="W264" s="6"/>
      <c r="X264" s="6"/>
      <c r="Y264" s="6"/>
    </row>
    <row r="265" spans="8:25" x14ac:dyDescent="0.25">
      <c r="H265" s="5"/>
      <c r="I265" s="5"/>
      <c r="J265" s="5"/>
      <c r="K265" s="6"/>
      <c r="L265" s="6"/>
      <c r="T265" s="6"/>
      <c r="U265" s="6"/>
      <c r="V265" s="6"/>
      <c r="W265" s="6"/>
      <c r="X265" s="6"/>
      <c r="Y265" s="6"/>
    </row>
    <row r="266" spans="8:25" x14ac:dyDescent="0.25">
      <c r="H266" s="5"/>
      <c r="I266" s="5"/>
      <c r="J266" s="5"/>
      <c r="K266" s="6"/>
      <c r="L266" s="6"/>
      <c r="T266" s="6"/>
      <c r="U266" s="6"/>
      <c r="V266" s="6"/>
      <c r="W266" s="6"/>
      <c r="X266" s="6"/>
      <c r="Y266" s="6"/>
    </row>
    <row r="267" spans="8:25" x14ac:dyDescent="0.25">
      <c r="H267" s="5"/>
      <c r="I267" s="5"/>
      <c r="J267" s="5"/>
      <c r="K267" s="6"/>
      <c r="L267" s="6"/>
      <c r="T267" s="6"/>
      <c r="U267" s="6"/>
      <c r="V267" s="6"/>
      <c r="W267" s="6"/>
      <c r="X267" s="6"/>
      <c r="Y267" s="6"/>
    </row>
    <row r="268" spans="8:25" x14ac:dyDescent="0.25">
      <c r="H268" s="5"/>
      <c r="I268" s="5"/>
      <c r="J268" s="5"/>
      <c r="K268" s="6"/>
      <c r="L268" s="6"/>
      <c r="T268" s="6"/>
      <c r="U268" s="6"/>
      <c r="V268" s="6"/>
      <c r="W268" s="6"/>
      <c r="X268" s="6"/>
      <c r="Y268" s="6"/>
    </row>
    <row r="269" spans="8:25" x14ac:dyDescent="0.25">
      <c r="H269" s="5"/>
      <c r="I269" s="5"/>
      <c r="J269" s="5"/>
      <c r="K269" s="6"/>
      <c r="L269" s="6"/>
      <c r="T269" s="6"/>
      <c r="U269" s="6"/>
      <c r="V269" s="6"/>
      <c r="W269" s="6"/>
      <c r="X269" s="6"/>
      <c r="Y269" s="6"/>
    </row>
    <row r="270" spans="8:25" x14ac:dyDescent="0.25">
      <c r="H270" s="5"/>
      <c r="I270" s="5"/>
      <c r="J270" s="5"/>
      <c r="K270" s="6"/>
      <c r="L270" s="6"/>
      <c r="T270" s="6"/>
      <c r="U270" s="6"/>
      <c r="V270" s="6"/>
      <c r="W270" s="6"/>
      <c r="X270" s="6"/>
      <c r="Y270" s="6"/>
    </row>
    <row r="271" spans="8:25" x14ac:dyDescent="0.25">
      <c r="H271" s="5"/>
      <c r="I271" s="5"/>
      <c r="J271" s="5"/>
      <c r="K271" s="6"/>
      <c r="L271" s="6"/>
      <c r="T271" s="6"/>
      <c r="U271" s="6"/>
      <c r="V271" s="6"/>
      <c r="W271" s="6"/>
      <c r="X271" s="6"/>
      <c r="Y271" s="6"/>
    </row>
    <row r="272" spans="8:25" x14ac:dyDescent="0.25">
      <c r="H272" s="5"/>
      <c r="I272" s="5"/>
      <c r="J272" s="5"/>
      <c r="K272" s="6"/>
      <c r="L272" s="6"/>
      <c r="T272" s="6"/>
      <c r="U272" s="6"/>
      <c r="V272" s="6"/>
      <c r="W272" s="6"/>
      <c r="X272" s="6"/>
      <c r="Y272" s="6"/>
    </row>
    <row r="273" spans="8:25" x14ac:dyDescent="0.25">
      <c r="H273" s="5"/>
      <c r="I273" s="5"/>
      <c r="J273" s="5"/>
      <c r="K273" s="6"/>
      <c r="L273" s="6"/>
      <c r="T273" s="6"/>
      <c r="U273" s="6"/>
      <c r="V273" s="6"/>
      <c r="W273" s="6"/>
      <c r="X273" s="6"/>
      <c r="Y273" s="6"/>
    </row>
    <row r="274" spans="8:25" x14ac:dyDescent="0.25">
      <c r="H274" s="5"/>
      <c r="I274" s="5"/>
      <c r="J274" s="5"/>
      <c r="K274" s="6"/>
      <c r="L274" s="6"/>
      <c r="T274" s="6"/>
      <c r="U274" s="6"/>
      <c r="V274" s="6"/>
      <c r="W274" s="6"/>
      <c r="X274" s="6"/>
      <c r="Y274" s="6"/>
    </row>
    <row r="275" spans="8:25" x14ac:dyDescent="0.25">
      <c r="H275" s="5"/>
      <c r="I275" s="5"/>
      <c r="J275" s="5"/>
      <c r="K275" s="6"/>
      <c r="L275" s="6"/>
      <c r="T275" s="6"/>
      <c r="U275" s="6"/>
      <c r="V275" s="6"/>
      <c r="W275" s="6"/>
      <c r="X275" s="6"/>
      <c r="Y275" s="6"/>
    </row>
    <row r="276" spans="8:25" x14ac:dyDescent="0.25">
      <c r="H276" s="5"/>
      <c r="I276" s="5"/>
      <c r="J276" s="5"/>
      <c r="K276" s="6"/>
      <c r="L276" s="6"/>
      <c r="T276" s="6"/>
      <c r="U276" s="6"/>
      <c r="V276" s="6"/>
      <c r="W276" s="6"/>
      <c r="X276" s="6"/>
      <c r="Y276" s="6"/>
    </row>
    <row r="277" spans="8:25" x14ac:dyDescent="0.25">
      <c r="H277" s="5"/>
      <c r="I277" s="5"/>
      <c r="J277" s="5"/>
      <c r="K277" s="6"/>
      <c r="L277" s="6"/>
      <c r="T277" s="6"/>
      <c r="U277" s="6"/>
      <c r="V277" s="6"/>
      <c r="W277" s="6"/>
      <c r="X277" s="6"/>
      <c r="Y277" s="6"/>
    </row>
    <row r="278" spans="8:25" x14ac:dyDescent="0.25">
      <c r="H278" s="5"/>
      <c r="I278" s="5"/>
      <c r="J278" s="5"/>
      <c r="K278" s="6"/>
      <c r="L278" s="6"/>
      <c r="T278" s="6"/>
      <c r="U278" s="6"/>
      <c r="V278" s="6"/>
      <c r="W278" s="6"/>
      <c r="X278" s="6"/>
      <c r="Y278" s="6"/>
    </row>
    <row r="279" spans="8:25" x14ac:dyDescent="0.25">
      <c r="H279" s="5"/>
      <c r="I279" s="5"/>
      <c r="J279" s="5"/>
      <c r="K279" s="6"/>
      <c r="L279" s="6"/>
      <c r="T279" s="6"/>
      <c r="U279" s="6"/>
      <c r="V279" s="6"/>
      <c r="W279" s="6"/>
      <c r="X279" s="6"/>
      <c r="Y279" s="6"/>
    </row>
    <row r="280" spans="8:25" x14ac:dyDescent="0.25">
      <c r="H280" s="5"/>
      <c r="I280" s="5"/>
      <c r="J280" s="5"/>
      <c r="K280" s="6"/>
      <c r="L280" s="6"/>
      <c r="T280" s="6"/>
      <c r="U280" s="6"/>
      <c r="V280" s="6"/>
      <c r="W280" s="6"/>
      <c r="X280" s="6"/>
      <c r="Y280" s="6"/>
    </row>
    <row r="281" spans="8:25" x14ac:dyDescent="0.25">
      <c r="H281" s="5"/>
      <c r="I281" s="5"/>
      <c r="J281" s="5"/>
      <c r="K281" s="6"/>
      <c r="L281" s="6"/>
      <c r="T281" s="6"/>
      <c r="U281" s="6"/>
      <c r="V281" s="6"/>
      <c r="W281" s="6"/>
      <c r="X281" s="6"/>
      <c r="Y281" s="6"/>
    </row>
    <row r="282" spans="8:25" x14ac:dyDescent="0.25">
      <c r="H282" s="5"/>
      <c r="I282" s="5"/>
      <c r="J282" s="5"/>
      <c r="K282" s="6"/>
      <c r="L282" s="6"/>
      <c r="T282" s="6"/>
      <c r="U282" s="6"/>
      <c r="V282" s="6"/>
      <c r="W282" s="6"/>
      <c r="X282" s="6"/>
      <c r="Y282" s="6"/>
    </row>
    <row r="283" spans="8:25" x14ac:dyDescent="0.25">
      <c r="H283" s="5"/>
      <c r="I283" s="5"/>
      <c r="J283" s="5"/>
      <c r="K283" s="6"/>
      <c r="L283" s="6"/>
      <c r="T283" s="6"/>
      <c r="U283" s="6"/>
      <c r="V283" s="6"/>
      <c r="W283" s="6"/>
      <c r="X283" s="6"/>
      <c r="Y283" s="6"/>
    </row>
    <row r="284" spans="8:25" x14ac:dyDescent="0.25">
      <c r="H284" s="5"/>
      <c r="I284" s="5"/>
      <c r="J284" s="5"/>
      <c r="K284" s="6"/>
      <c r="L284" s="6"/>
      <c r="T284" s="6"/>
      <c r="U284" s="6"/>
      <c r="V284" s="6"/>
      <c r="W284" s="6"/>
      <c r="X284" s="6"/>
      <c r="Y284" s="6"/>
    </row>
    <row r="285" spans="8:25" x14ac:dyDescent="0.25">
      <c r="H285" s="5"/>
      <c r="I285" s="5"/>
      <c r="J285" s="5"/>
      <c r="K285" s="6"/>
      <c r="L285" s="6"/>
      <c r="T285" s="6"/>
      <c r="U285" s="6"/>
      <c r="V285" s="6"/>
      <c r="W285" s="6"/>
      <c r="X285" s="6"/>
      <c r="Y285" s="6"/>
    </row>
    <row r="286" spans="8:25" x14ac:dyDescent="0.25">
      <c r="H286" s="5"/>
      <c r="I286" s="5"/>
      <c r="J286" s="5"/>
      <c r="K286" s="6"/>
      <c r="L286" s="6"/>
      <c r="T286" s="6"/>
      <c r="U286" s="6"/>
      <c r="V286" s="6"/>
      <c r="W286" s="6"/>
      <c r="X286" s="6"/>
      <c r="Y286" s="6"/>
    </row>
    <row r="287" spans="8:25" x14ac:dyDescent="0.25">
      <c r="H287" s="5"/>
      <c r="I287" s="5"/>
      <c r="J287" s="5"/>
      <c r="K287" s="6"/>
      <c r="L287" s="6"/>
      <c r="T287" s="6"/>
      <c r="U287" s="6"/>
      <c r="V287" s="6"/>
      <c r="W287" s="6"/>
      <c r="X287" s="6"/>
      <c r="Y287" s="6"/>
    </row>
    <row r="288" spans="8:25" x14ac:dyDescent="0.25">
      <c r="H288" s="5"/>
      <c r="I288" s="5"/>
      <c r="J288" s="5"/>
      <c r="K288" s="6"/>
      <c r="L288" s="6"/>
      <c r="T288" s="6"/>
      <c r="U288" s="6"/>
      <c r="V288" s="6"/>
      <c r="W288" s="6"/>
      <c r="X288" s="6"/>
      <c r="Y288" s="6"/>
    </row>
    <row r="289" spans="8:25" x14ac:dyDescent="0.25">
      <c r="H289" s="5"/>
      <c r="I289" s="5"/>
      <c r="J289" s="5"/>
      <c r="K289" s="6"/>
      <c r="L289" s="6"/>
      <c r="T289" s="6"/>
      <c r="U289" s="6"/>
      <c r="V289" s="6"/>
      <c r="W289" s="6"/>
      <c r="X289" s="6"/>
      <c r="Y289" s="6"/>
    </row>
    <row r="290" spans="8:25" x14ac:dyDescent="0.25">
      <c r="H290" s="5"/>
      <c r="I290" s="5"/>
      <c r="J290" s="5"/>
      <c r="K290" s="6"/>
      <c r="L290" s="6"/>
      <c r="T290" s="6"/>
      <c r="U290" s="6"/>
      <c r="V290" s="6"/>
      <c r="W290" s="6"/>
      <c r="X290" s="6"/>
      <c r="Y290" s="6"/>
    </row>
    <row r="291" spans="8:25" x14ac:dyDescent="0.25">
      <c r="H291" s="5"/>
      <c r="I291" s="5"/>
      <c r="J291" s="5"/>
      <c r="K291" s="6"/>
      <c r="L291" s="6"/>
      <c r="T291" s="6"/>
      <c r="U291" s="6"/>
      <c r="V291" s="6"/>
      <c r="W291" s="6"/>
      <c r="X291" s="6"/>
      <c r="Y291" s="6"/>
    </row>
    <row r="292" spans="8:25" x14ac:dyDescent="0.25">
      <c r="H292" s="5"/>
      <c r="I292" s="5"/>
      <c r="J292" s="5"/>
      <c r="K292" s="6"/>
      <c r="L292" s="6"/>
      <c r="T292" s="6"/>
      <c r="U292" s="6"/>
      <c r="V292" s="6"/>
      <c r="W292" s="6"/>
      <c r="X292" s="6"/>
      <c r="Y292" s="6"/>
    </row>
    <row r="293" spans="8:25" x14ac:dyDescent="0.25">
      <c r="H293" s="5"/>
      <c r="I293" s="5"/>
      <c r="J293" s="5"/>
      <c r="K293" s="6"/>
      <c r="L293" s="6"/>
      <c r="T293" s="6"/>
      <c r="U293" s="6"/>
      <c r="V293" s="6"/>
      <c r="W293" s="6"/>
      <c r="X293" s="6"/>
      <c r="Y293" s="6"/>
    </row>
    <row r="294" spans="8:25" x14ac:dyDescent="0.25">
      <c r="H294" s="5"/>
      <c r="I294" s="5"/>
      <c r="J294" s="5"/>
      <c r="K294" s="6"/>
      <c r="L294" s="6"/>
      <c r="T294" s="6"/>
      <c r="U294" s="6"/>
      <c r="V294" s="6"/>
      <c r="W294" s="6"/>
      <c r="X294" s="6"/>
      <c r="Y294" s="6"/>
    </row>
    <row r="295" spans="8:25" x14ac:dyDescent="0.25">
      <c r="H295" s="5"/>
      <c r="I295" s="5"/>
      <c r="J295" s="5"/>
      <c r="K295" s="6"/>
      <c r="L295" s="6"/>
      <c r="T295" s="6"/>
      <c r="U295" s="6"/>
      <c r="V295" s="6"/>
      <c r="W295" s="6"/>
      <c r="X295" s="6"/>
      <c r="Y295" s="6"/>
    </row>
    <row r="296" spans="8:25" x14ac:dyDescent="0.25">
      <c r="H296" s="5"/>
      <c r="I296" s="5"/>
      <c r="J296" s="5"/>
      <c r="K296" s="6"/>
      <c r="L296" s="6"/>
      <c r="T296" s="6"/>
      <c r="U296" s="6"/>
      <c r="V296" s="6"/>
      <c r="W296" s="6"/>
      <c r="X296" s="6"/>
      <c r="Y296" s="6"/>
    </row>
    <row r="297" spans="8:25" x14ac:dyDescent="0.25">
      <c r="H297" s="5"/>
      <c r="I297" s="5"/>
      <c r="J297" s="5"/>
      <c r="K297" s="6"/>
      <c r="L297" s="6"/>
      <c r="T297" s="6"/>
      <c r="U297" s="6"/>
      <c r="V297" s="6"/>
      <c r="W297" s="6"/>
      <c r="X297" s="6"/>
      <c r="Y297" s="6"/>
    </row>
    <row r="298" spans="8:25" x14ac:dyDescent="0.25">
      <c r="H298" s="5"/>
      <c r="I298" s="5"/>
      <c r="J298" s="5"/>
      <c r="K298" s="6"/>
      <c r="L298" s="6"/>
      <c r="T298" s="6"/>
      <c r="U298" s="6"/>
      <c r="V298" s="6"/>
      <c r="W298" s="6"/>
      <c r="X298" s="6"/>
      <c r="Y298" s="6"/>
    </row>
    <row r="299" spans="8:25" x14ac:dyDescent="0.25">
      <c r="H299" s="5"/>
      <c r="I299" s="5"/>
      <c r="J299" s="5"/>
      <c r="K299" s="6"/>
      <c r="L299" s="6"/>
      <c r="T299" s="6"/>
      <c r="U299" s="6"/>
      <c r="V299" s="6"/>
      <c r="W299" s="6"/>
      <c r="X299" s="6"/>
      <c r="Y299" s="6"/>
    </row>
    <row r="300" spans="8:25" x14ac:dyDescent="0.25">
      <c r="H300" s="5"/>
      <c r="I300" s="5"/>
      <c r="J300" s="5"/>
      <c r="K300" s="6"/>
      <c r="L300" s="6"/>
      <c r="T300" s="6"/>
      <c r="U300" s="6"/>
      <c r="V300" s="6"/>
      <c r="W300" s="6"/>
      <c r="X300" s="6"/>
      <c r="Y300" s="6"/>
    </row>
    <row r="301" spans="8:25" x14ac:dyDescent="0.25">
      <c r="H301" s="5"/>
      <c r="I301" s="5"/>
      <c r="J301" s="5"/>
      <c r="K301" s="6"/>
      <c r="L301" s="6"/>
      <c r="T301" s="6"/>
      <c r="U301" s="6"/>
      <c r="V301" s="6"/>
      <c r="W301" s="6"/>
      <c r="X301" s="6"/>
      <c r="Y301" s="6"/>
    </row>
    <row r="302" spans="8:25" x14ac:dyDescent="0.25">
      <c r="H302" s="5"/>
      <c r="I302" s="5"/>
      <c r="J302" s="5"/>
      <c r="K302" s="6"/>
      <c r="L302" s="6"/>
      <c r="T302" s="6"/>
      <c r="U302" s="6"/>
      <c r="V302" s="6"/>
      <c r="W302" s="6"/>
      <c r="X302" s="6"/>
      <c r="Y302" s="6"/>
    </row>
    <row r="303" spans="8:25" x14ac:dyDescent="0.25">
      <c r="H303" s="5"/>
      <c r="I303" s="5"/>
      <c r="J303" s="5"/>
      <c r="K303" s="6"/>
      <c r="L303" s="6"/>
      <c r="T303" s="6"/>
      <c r="U303" s="6"/>
      <c r="V303" s="6"/>
      <c r="W303" s="6"/>
      <c r="X303" s="6"/>
      <c r="Y303" s="6"/>
    </row>
    <row r="304" spans="8:25" x14ac:dyDescent="0.25">
      <c r="H304" s="5"/>
      <c r="I304" s="5"/>
      <c r="J304" s="5"/>
      <c r="K304" s="6"/>
      <c r="L304" s="6"/>
      <c r="T304" s="6"/>
      <c r="U304" s="6"/>
      <c r="V304" s="6"/>
      <c r="W304" s="6"/>
      <c r="X304" s="6"/>
      <c r="Y304" s="6"/>
    </row>
    <row r="305" spans="8:25" x14ac:dyDescent="0.25">
      <c r="H305" s="5"/>
      <c r="I305" s="5"/>
      <c r="J305" s="5"/>
      <c r="K305" s="6"/>
      <c r="L305" s="6"/>
      <c r="T305" s="6"/>
      <c r="U305" s="6"/>
      <c r="V305" s="6"/>
      <c r="W305" s="6"/>
      <c r="X305" s="6"/>
      <c r="Y305" s="6"/>
    </row>
    <row r="306" spans="8:25" x14ac:dyDescent="0.25">
      <c r="H306" s="5"/>
      <c r="I306" s="5"/>
      <c r="J306" s="5"/>
      <c r="K306" s="6"/>
      <c r="L306" s="6"/>
      <c r="T306" s="6"/>
      <c r="U306" s="6"/>
      <c r="V306" s="6"/>
      <c r="W306" s="6"/>
      <c r="X306" s="6"/>
      <c r="Y306" s="6"/>
    </row>
    <row r="307" spans="8:25" x14ac:dyDescent="0.25">
      <c r="H307" s="5"/>
      <c r="I307" s="5"/>
      <c r="J307" s="5"/>
      <c r="K307" s="6"/>
      <c r="L307" s="6"/>
      <c r="T307" s="6"/>
      <c r="U307" s="6"/>
      <c r="V307" s="6"/>
      <c r="W307" s="6"/>
      <c r="X307" s="6"/>
      <c r="Y307" s="6"/>
    </row>
    <row r="308" spans="8:25" x14ac:dyDescent="0.25">
      <c r="H308" s="5"/>
      <c r="I308" s="5"/>
      <c r="J308" s="5"/>
      <c r="K308" s="6"/>
      <c r="L308" s="6"/>
      <c r="T308" s="6"/>
      <c r="U308" s="6"/>
      <c r="V308" s="6"/>
      <c r="W308" s="6"/>
      <c r="X308" s="6"/>
      <c r="Y308" s="6"/>
    </row>
    <row r="309" spans="8:25" x14ac:dyDescent="0.25">
      <c r="H309" s="5"/>
      <c r="I309" s="5"/>
      <c r="J309" s="5"/>
      <c r="K309" s="6"/>
      <c r="L309" s="6"/>
      <c r="T309" s="6"/>
      <c r="U309" s="6"/>
      <c r="V309" s="6"/>
      <c r="W309" s="6"/>
      <c r="X309" s="6"/>
      <c r="Y309" s="6"/>
    </row>
    <row r="310" spans="8:25" x14ac:dyDescent="0.25">
      <c r="H310" s="5"/>
      <c r="I310" s="5"/>
      <c r="J310" s="5"/>
      <c r="K310" s="6"/>
      <c r="L310" s="6"/>
      <c r="T310" s="6"/>
      <c r="U310" s="6"/>
      <c r="V310" s="6"/>
      <c r="W310" s="6"/>
      <c r="X310" s="6"/>
      <c r="Y310" s="6"/>
    </row>
    <row r="311" spans="8:25" x14ac:dyDescent="0.25">
      <c r="H311" s="5"/>
      <c r="I311" s="5"/>
      <c r="J311" s="5"/>
      <c r="K311" s="6"/>
      <c r="L311" s="6"/>
      <c r="T311" s="6"/>
      <c r="U311" s="6"/>
      <c r="V311" s="6"/>
      <c r="W311" s="6"/>
      <c r="X311" s="6"/>
      <c r="Y311" s="6"/>
    </row>
    <row r="312" spans="8:25" x14ac:dyDescent="0.25">
      <c r="H312" s="5"/>
      <c r="I312" s="5"/>
      <c r="J312" s="5"/>
      <c r="K312" s="6"/>
      <c r="L312" s="6"/>
      <c r="T312" s="6"/>
      <c r="U312" s="6"/>
      <c r="V312" s="6"/>
      <c r="W312" s="6"/>
      <c r="X312" s="6"/>
      <c r="Y312" s="6"/>
    </row>
    <row r="313" spans="8:25" x14ac:dyDescent="0.25">
      <c r="H313" s="5"/>
      <c r="I313" s="5"/>
      <c r="J313" s="5"/>
      <c r="K313" s="6"/>
      <c r="L313" s="6"/>
      <c r="T313" s="6"/>
      <c r="U313" s="6"/>
      <c r="V313" s="6"/>
      <c r="W313" s="6"/>
      <c r="X313" s="6"/>
      <c r="Y313" s="6"/>
    </row>
    <row r="314" spans="8:25" x14ac:dyDescent="0.25">
      <c r="H314" s="5"/>
      <c r="I314" s="5"/>
      <c r="J314" s="5"/>
      <c r="K314" s="6"/>
      <c r="L314" s="6"/>
      <c r="T314" s="6"/>
      <c r="U314" s="6"/>
      <c r="V314" s="6"/>
      <c r="W314" s="6"/>
      <c r="X314" s="6"/>
      <c r="Y314" s="6"/>
    </row>
    <row r="315" spans="8:25" x14ac:dyDescent="0.25">
      <c r="H315" s="5"/>
      <c r="I315" s="5"/>
      <c r="J315" s="5"/>
      <c r="K315" s="6"/>
      <c r="L315" s="6"/>
      <c r="T315" s="6"/>
      <c r="U315" s="6"/>
      <c r="V315" s="6"/>
      <c r="W315" s="6"/>
      <c r="X315" s="6"/>
      <c r="Y315" s="6"/>
    </row>
    <row r="316" spans="8:25" x14ac:dyDescent="0.25">
      <c r="H316" s="5"/>
      <c r="I316" s="5"/>
      <c r="J316" s="5"/>
      <c r="K316" s="6"/>
      <c r="L316" s="6"/>
      <c r="T316" s="6"/>
      <c r="U316" s="6"/>
      <c r="V316" s="6"/>
      <c r="W316" s="6"/>
      <c r="X316" s="6"/>
      <c r="Y316" s="6"/>
    </row>
    <row r="317" spans="8:25" x14ac:dyDescent="0.25">
      <c r="H317" s="5"/>
      <c r="I317" s="5"/>
      <c r="J317" s="5"/>
      <c r="K317" s="6"/>
      <c r="L317" s="6"/>
      <c r="T317" s="6"/>
      <c r="U317" s="6"/>
      <c r="V317" s="6"/>
      <c r="W317" s="6"/>
      <c r="X317" s="6"/>
      <c r="Y317" s="6"/>
    </row>
    <row r="318" spans="8:25" x14ac:dyDescent="0.25">
      <c r="H318" s="5"/>
      <c r="I318" s="5"/>
      <c r="J318" s="5"/>
      <c r="K318" s="6"/>
      <c r="L318" s="6"/>
      <c r="T318" s="6"/>
      <c r="U318" s="6"/>
      <c r="V318" s="6"/>
      <c r="W318" s="6"/>
      <c r="X318" s="6"/>
      <c r="Y318" s="6"/>
    </row>
    <row r="319" spans="8:25" x14ac:dyDescent="0.25">
      <c r="H319" s="5"/>
      <c r="I319" s="5"/>
      <c r="J319" s="5"/>
      <c r="K319" s="6"/>
      <c r="L319" s="6"/>
      <c r="T319" s="6"/>
      <c r="U319" s="6"/>
      <c r="V319" s="6"/>
      <c r="W319" s="6"/>
      <c r="X319" s="6"/>
      <c r="Y319" s="6"/>
    </row>
    <row r="320" spans="8:25" x14ac:dyDescent="0.25">
      <c r="H320" s="5"/>
      <c r="I320" s="5"/>
      <c r="J320" s="5"/>
      <c r="K320" s="6"/>
      <c r="L320" s="6"/>
      <c r="T320" s="6"/>
      <c r="U320" s="6"/>
      <c r="V320" s="6"/>
      <c r="W320" s="6"/>
      <c r="X320" s="6"/>
      <c r="Y320" s="6"/>
    </row>
    <row r="321" spans="8:25" x14ac:dyDescent="0.25">
      <c r="H321" s="5"/>
      <c r="I321" s="5"/>
      <c r="J321" s="5"/>
      <c r="K321" s="6"/>
      <c r="L321" s="6"/>
      <c r="T321" s="6"/>
      <c r="U321" s="6"/>
      <c r="V321" s="6"/>
      <c r="W321" s="6"/>
      <c r="X321" s="6"/>
      <c r="Y321" s="6"/>
    </row>
    <row r="322" spans="8:25" x14ac:dyDescent="0.25">
      <c r="H322" s="5"/>
      <c r="I322" s="5"/>
      <c r="J322" s="5"/>
      <c r="K322" s="6"/>
      <c r="L322" s="6"/>
      <c r="T322" s="6"/>
      <c r="U322" s="6"/>
      <c r="V322" s="6"/>
      <c r="W322" s="6"/>
      <c r="X322" s="6"/>
      <c r="Y322" s="6"/>
    </row>
    <row r="323" spans="8:25" x14ac:dyDescent="0.25">
      <c r="H323" s="5"/>
      <c r="I323" s="5"/>
      <c r="J323" s="5"/>
      <c r="K323" s="6"/>
      <c r="L323" s="6"/>
      <c r="T323" s="6"/>
      <c r="U323" s="6"/>
      <c r="V323" s="6"/>
      <c r="W323" s="6"/>
      <c r="X323" s="6"/>
      <c r="Y323" s="6"/>
    </row>
    <row r="324" spans="8:25" x14ac:dyDescent="0.25">
      <c r="H324" s="5"/>
      <c r="I324" s="5"/>
      <c r="J324" s="5"/>
      <c r="K324" s="6"/>
      <c r="L324" s="6"/>
      <c r="T324" s="6"/>
      <c r="U324" s="6"/>
      <c r="V324" s="6"/>
      <c r="W324" s="6"/>
      <c r="X324" s="6"/>
      <c r="Y324" s="6"/>
    </row>
    <row r="325" spans="8:25" x14ac:dyDescent="0.25">
      <c r="H325" s="5"/>
      <c r="I325" s="5"/>
      <c r="J325" s="5"/>
      <c r="K325" s="6"/>
      <c r="L325" s="6"/>
      <c r="T325" s="6"/>
      <c r="U325" s="6"/>
      <c r="V325" s="6"/>
      <c r="W325" s="6"/>
      <c r="X325" s="6"/>
      <c r="Y325" s="6"/>
    </row>
    <row r="326" spans="8:25" x14ac:dyDescent="0.25">
      <c r="H326" s="5"/>
      <c r="I326" s="5"/>
      <c r="J326" s="5"/>
      <c r="K326" s="6"/>
      <c r="L326" s="6"/>
      <c r="T326" s="6"/>
      <c r="U326" s="6"/>
      <c r="V326" s="6"/>
      <c r="W326" s="6"/>
      <c r="X326" s="6"/>
      <c r="Y326" s="6"/>
    </row>
    <row r="327" spans="8:25" x14ac:dyDescent="0.25">
      <c r="H327" s="5"/>
      <c r="I327" s="5"/>
      <c r="J327" s="5"/>
      <c r="K327" s="6"/>
      <c r="L327" s="6"/>
      <c r="T327" s="6"/>
      <c r="U327" s="6"/>
      <c r="V327" s="6"/>
      <c r="W327" s="6"/>
      <c r="X327" s="6"/>
      <c r="Y327" s="6"/>
    </row>
    <row r="328" spans="8:25" x14ac:dyDescent="0.25">
      <c r="H328" s="5"/>
      <c r="I328" s="5"/>
      <c r="J328" s="5"/>
      <c r="K328" s="6"/>
      <c r="L328" s="6"/>
      <c r="T328" s="6"/>
      <c r="U328" s="6"/>
      <c r="V328" s="6"/>
      <c r="W328" s="6"/>
      <c r="X328" s="6"/>
      <c r="Y328" s="6"/>
    </row>
    <row r="329" spans="8:25" x14ac:dyDescent="0.25">
      <c r="H329" s="5"/>
      <c r="I329" s="5"/>
      <c r="J329" s="5"/>
      <c r="K329" s="6"/>
      <c r="L329" s="6"/>
      <c r="T329" s="6"/>
      <c r="U329" s="6"/>
      <c r="V329" s="6"/>
      <c r="W329" s="6"/>
      <c r="X329" s="6"/>
      <c r="Y329" s="6"/>
    </row>
    <row r="330" spans="8:25" x14ac:dyDescent="0.25">
      <c r="H330" s="5"/>
      <c r="I330" s="5"/>
      <c r="J330" s="5"/>
      <c r="K330" s="6"/>
      <c r="L330" s="6"/>
      <c r="T330" s="6"/>
      <c r="U330" s="6"/>
      <c r="V330" s="6"/>
      <c r="W330" s="6"/>
      <c r="X330" s="6"/>
      <c r="Y330" s="6"/>
    </row>
    <row r="331" spans="8:25" x14ac:dyDescent="0.25">
      <c r="H331" s="5"/>
      <c r="I331" s="5"/>
      <c r="J331" s="5"/>
      <c r="K331" s="6"/>
      <c r="L331" s="6"/>
      <c r="T331" s="6"/>
      <c r="U331" s="6"/>
      <c r="V331" s="6"/>
      <c r="W331" s="6"/>
      <c r="X331" s="6"/>
      <c r="Y331" s="6"/>
    </row>
    <row r="332" spans="8:25" x14ac:dyDescent="0.25">
      <c r="H332" s="5"/>
      <c r="I332" s="5"/>
      <c r="J332" s="5"/>
      <c r="K332" s="6"/>
      <c r="L332" s="6"/>
      <c r="T332" s="6"/>
      <c r="U332" s="6"/>
      <c r="V332" s="6"/>
      <c r="W332" s="6"/>
      <c r="X332" s="6"/>
      <c r="Y332" s="6"/>
    </row>
    <row r="333" spans="8:25" x14ac:dyDescent="0.25">
      <c r="H333" s="5"/>
      <c r="I333" s="5"/>
      <c r="J333" s="5"/>
      <c r="K333" s="6"/>
      <c r="L333" s="6"/>
      <c r="T333" s="6"/>
      <c r="U333" s="6"/>
      <c r="V333" s="6"/>
      <c r="W333" s="6"/>
      <c r="X333" s="6"/>
      <c r="Y333" s="6"/>
    </row>
    <row r="334" spans="8:25" x14ac:dyDescent="0.25">
      <c r="H334" s="5"/>
      <c r="I334" s="5"/>
      <c r="J334" s="5"/>
      <c r="K334" s="6"/>
      <c r="L334" s="6"/>
      <c r="T334" s="6"/>
      <c r="U334" s="6"/>
      <c r="V334" s="6"/>
      <c r="W334" s="6"/>
      <c r="X334" s="6"/>
      <c r="Y334" s="6"/>
    </row>
    <row r="335" spans="8:25" x14ac:dyDescent="0.25">
      <c r="H335" s="5"/>
      <c r="I335" s="5"/>
      <c r="J335" s="5"/>
      <c r="K335" s="6"/>
      <c r="L335" s="6"/>
      <c r="T335" s="6"/>
      <c r="U335" s="6"/>
      <c r="V335" s="6"/>
      <c r="W335" s="6"/>
      <c r="X335" s="6"/>
      <c r="Y335" s="6"/>
    </row>
    <row r="336" spans="8:25" x14ac:dyDescent="0.25">
      <c r="H336" s="5"/>
      <c r="I336" s="5"/>
      <c r="J336" s="5"/>
      <c r="K336" s="6"/>
      <c r="L336" s="6"/>
      <c r="T336" s="6"/>
      <c r="U336" s="6"/>
      <c r="V336" s="6"/>
      <c r="W336" s="6"/>
      <c r="X336" s="6"/>
      <c r="Y336" s="6"/>
    </row>
    <row r="337" spans="8:25" x14ac:dyDescent="0.25">
      <c r="H337" s="5"/>
      <c r="I337" s="5"/>
      <c r="J337" s="5"/>
      <c r="K337" s="6"/>
      <c r="L337" s="6"/>
      <c r="T337" s="6"/>
      <c r="U337" s="6"/>
      <c r="V337" s="6"/>
      <c r="W337" s="6"/>
      <c r="X337" s="6"/>
      <c r="Y337" s="6"/>
    </row>
    <row r="338" spans="8:25" x14ac:dyDescent="0.25">
      <c r="H338" s="5"/>
      <c r="I338" s="5"/>
      <c r="J338" s="5"/>
      <c r="K338" s="6"/>
      <c r="L338" s="6"/>
      <c r="T338" s="6"/>
      <c r="U338" s="6"/>
      <c r="V338" s="6"/>
      <c r="W338" s="6"/>
      <c r="X338" s="6"/>
      <c r="Y338" s="6"/>
    </row>
  </sheetData>
  <autoFilter ref="A1:AL88" xr:uid="{D421E07C-ADCE-4DDE-AF0D-46E67AB63195}">
    <sortState xmlns:xlrd2="http://schemas.microsoft.com/office/spreadsheetml/2017/richdata2" ref="A2:AL88">
      <sortCondition ref="K1:K88"/>
    </sortState>
  </autoFilter>
  <dataValidations count="2">
    <dataValidation type="decimal" allowBlank="1" showDropDown="1" showErrorMessage="1" sqref="H2:I39 H41:I338 J89:J338" xr:uid="{DD3786BB-6AA6-4175-A2BA-5605B3549DC7}">
      <formula1>0</formula1>
      <formula2>10000000</formula2>
    </dataValidation>
    <dataValidation type="custom" allowBlank="1" showDropDown="1" showErrorMessage="1" sqref="Y22:Y23 S71 P74:P85 Y80 K89:L338 AA22 S76 S8:S10 AA4:AA5 AA7:AA8 S16:S18 Y15:Y16 R10 X90:X338 AA63 S21 K85:K86 AA24 AD42 K74:K78 Y57 AA2 T85:U87 R2:R4 T2:T4 S52:T52 R63:S63 AA80 Y2:Y5 Y7:Y8 R6:R8 R14 Y18 R16:R19 R21:R26 Y20 S24 R64:R71 T30:U39 R41:R50 S83 R74 Y76 R85 K80:K83 S80:S81 AA82 AA49:AA50 S57 S49:T49 AA87 AI60 Y82:Y83 AA67 Y87 T6:T26 K37:K71 T28 U2:U22 S29:U29 Y67:Y68 S48 Y40 T50 T89:W338 Y89:Y338 T69:T83 Y42 Y44 Y46:Y47 Y49 AD70 T41:T48 Y54:Y55 R52:R62 Y59:Y65 S68:T68 R39 AD61 U24:U28 K2:K35 R28:R35 Y31:Y35 Y37:Y38 R76:R77 R79:R83 AD18 T53:T67 AD65 P31:P72 P2:P14 P16:P29 U41:U71 U73:U83 R37 AA44 AA42 AD44:AE44" xr:uid="{691070A3-9603-48FE-9E67-F072A745E8F2}">
      <formula1>OR(NOT(ISERROR(DATEVALUE(K2))), AND(ISNUMBER(K2), LEFT(CELL("format", K2))="D"))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0A2BF-CA85-4F0A-9534-9175C9BD99E9}">
  <dimension ref="A1:AL25"/>
  <sheetViews>
    <sheetView topLeftCell="N1" workbookViewId="0">
      <selection activeCell="AH2" sqref="AH2"/>
    </sheetView>
  </sheetViews>
  <sheetFormatPr defaultRowHeight="15" x14ac:dyDescent="0.25"/>
  <cols>
    <col min="3" max="3" width="12.42578125" customWidth="1"/>
    <col min="5" max="5" width="12.140625" customWidth="1"/>
    <col min="13" max="13" width="25.140625" customWidth="1"/>
    <col min="24" max="24" width="22.42578125" customWidth="1"/>
    <col min="37" max="37" width="11" customWidth="1"/>
  </cols>
  <sheetData>
    <row r="1" spans="1:38" x14ac:dyDescent="0.25">
      <c r="A1" t="s">
        <v>324</v>
      </c>
    </row>
    <row r="2" spans="1:38" x14ac:dyDescent="0.25">
      <c r="A2" s="14" t="s">
        <v>0</v>
      </c>
      <c r="B2" s="14" t="s">
        <v>1</v>
      </c>
      <c r="C2" s="14" t="s">
        <v>2</v>
      </c>
      <c r="D2" s="14" t="s">
        <v>3</v>
      </c>
      <c r="E2" s="14" t="s">
        <v>4</v>
      </c>
      <c r="F2" s="14" t="s">
        <v>5</v>
      </c>
      <c r="G2" s="14" t="s">
        <v>6</v>
      </c>
      <c r="H2" s="14" t="s">
        <v>7</v>
      </c>
      <c r="I2" s="14" t="s">
        <v>8</v>
      </c>
      <c r="J2" s="14" t="s">
        <v>325</v>
      </c>
      <c r="K2" s="14" t="s">
        <v>10</v>
      </c>
      <c r="L2" s="14" t="s">
        <v>326</v>
      </c>
      <c r="M2" s="14" t="s">
        <v>12</v>
      </c>
      <c r="N2" s="14" t="s">
        <v>13</v>
      </c>
      <c r="O2" s="14" t="s">
        <v>14</v>
      </c>
      <c r="P2" s="14" t="s">
        <v>15</v>
      </c>
      <c r="Q2" s="14" t="s">
        <v>16</v>
      </c>
      <c r="R2" s="14" t="s">
        <v>17</v>
      </c>
      <c r="S2" s="14" t="s">
        <v>18</v>
      </c>
      <c r="T2" s="14" t="s">
        <v>19</v>
      </c>
      <c r="U2" s="14" t="s">
        <v>20</v>
      </c>
      <c r="V2" s="14" t="s">
        <v>327</v>
      </c>
      <c r="W2" s="14" t="s">
        <v>22</v>
      </c>
      <c r="X2" s="14" t="s">
        <v>23</v>
      </c>
      <c r="Y2" s="14" t="s">
        <v>24</v>
      </c>
      <c r="Z2" s="14" t="s">
        <v>25</v>
      </c>
      <c r="AA2" s="14" t="s">
        <v>26</v>
      </c>
      <c r="AB2" s="14" t="s">
        <v>328</v>
      </c>
      <c r="AC2" s="14" t="s">
        <v>329</v>
      </c>
      <c r="AD2" s="14" t="s">
        <v>29</v>
      </c>
      <c r="AE2" s="14" t="s">
        <v>30</v>
      </c>
      <c r="AF2" s="14" t="s">
        <v>330</v>
      </c>
      <c r="AG2" s="14" t="s">
        <v>331</v>
      </c>
      <c r="AH2" s="14" t="s">
        <v>332</v>
      </c>
      <c r="AI2" s="14" t="s">
        <v>333</v>
      </c>
      <c r="AJ2" s="14" t="s">
        <v>334</v>
      </c>
      <c r="AK2" s="14" t="s">
        <v>36</v>
      </c>
      <c r="AL2" s="14" t="s">
        <v>37</v>
      </c>
    </row>
    <row r="3" spans="1:38" x14ac:dyDescent="0.25">
      <c r="A3" t="s">
        <v>335</v>
      </c>
      <c r="B3" t="s">
        <v>336</v>
      </c>
      <c r="C3" t="s">
        <v>337</v>
      </c>
      <c r="D3" t="s">
        <v>336</v>
      </c>
      <c r="E3" t="s">
        <v>122</v>
      </c>
      <c r="F3" t="s">
        <v>129</v>
      </c>
      <c r="G3" t="s">
        <v>88</v>
      </c>
      <c r="H3" t="s">
        <v>335</v>
      </c>
      <c r="I3" t="s">
        <v>335</v>
      </c>
      <c r="J3" t="s">
        <v>338</v>
      </c>
      <c r="K3" t="s">
        <v>339</v>
      </c>
      <c r="L3" t="s">
        <v>335</v>
      </c>
      <c r="M3" t="s">
        <v>93</v>
      </c>
      <c r="N3" t="s">
        <v>340</v>
      </c>
      <c r="O3" t="s">
        <v>336</v>
      </c>
      <c r="P3" t="s">
        <v>339</v>
      </c>
      <c r="Q3" t="s">
        <v>47</v>
      </c>
      <c r="R3" t="s">
        <v>339</v>
      </c>
      <c r="S3" t="s">
        <v>339</v>
      </c>
      <c r="T3" t="s">
        <v>339</v>
      </c>
      <c r="U3" t="s">
        <v>339</v>
      </c>
      <c r="V3" t="s">
        <v>339</v>
      </c>
      <c r="W3" t="s">
        <v>335</v>
      </c>
      <c r="X3" s="1" t="s">
        <v>73</v>
      </c>
      <c r="Y3" t="s">
        <v>339</v>
      </c>
      <c r="Z3" t="s">
        <v>94</v>
      </c>
      <c r="AA3" t="s">
        <v>339</v>
      </c>
      <c r="AB3" t="s">
        <v>335</v>
      </c>
      <c r="AC3" t="s">
        <v>335</v>
      </c>
      <c r="AD3" t="s">
        <v>339</v>
      </c>
      <c r="AE3" t="s">
        <v>339</v>
      </c>
      <c r="AF3" t="s">
        <v>335</v>
      </c>
      <c r="AG3" t="s">
        <v>339</v>
      </c>
      <c r="AH3" t="s">
        <v>335</v>
      </c>
      <c r="AI3" t="s">
        <v>339</v>
      </c>
      <c r="AJ3" t="s">
        <v>339</v>
      </c>
      <c r="AK3" t="s">
        <v>341</v>
      </c>
      <c r="AL3" t="s">
        <v>336</v>
      </c>
    </row>
    <row r="4" spans="1:38" x14ac:dyDescent="0.25">
      <c r="C4" t="s">
        <v>68</v>
      </c>
      <c r="E4" t="s">
        <v>342</v>
      </c>
      <c r="F4" t="s">
        <v>70</v>
      </c>
      <c r="G4" t="s">
        <v>60</v>
      </c>
      <c r="M4" t="s">
        <v>61</v>
      </c>
      <c r="N4" t="s">
        <v>343</v>
      </c>
      <c r="Q4" t="s">
        <v>62</v>
      </c>
      <c r="X4" s="1" t="s">
        <v>63</v>
      </c>
      <c r="Z4" t="s">
        <v>64</v>
      </c>
      <c r="AK4" t="s">
        <v>100</v>
      </c>
    </row>
    <row r="5" spans="1:38" x14ac:dyDescent="0.25">
      <c r="C5" t="s">
        <v>39</v>
      </c>
      <c r="E5" t="s">
        <v>91</v>
      </c>
      <c r="F5" t="s">
        <v>199</v>
      </c>
      <c r="G5" t="s">
        <v>200</v>
      </c>
      <c r="M5" t="s">
        <v>222</v>
      </c>
      <c r="N5" t="s">
        <v>45</v>
      </c>
      <c r="X5" t="s">
        <v>83</v>
      </c>
      <c r="Z5" t="s">
        <v>74</v>
      </c>
      <c r="AK5" t="s">
        <v>170</v>
      </c>
    </row>
    <row r="6" spans="1:38" x14ac:dyDescent="0.25">
      <c r="E6" t="s">
        <v>344</v>
      </c>
      <c r="F6" t="s">
        <v>42</v>
      </c>
      <c r="G6" t="s">
        <v>80</v>
      </c>
      <c r="M6" t="s">
        <v>44</v>
      </c>
      <c r="N6" t="s">
        <v>71</v>
      </c>
      <c r="X6" t="s">
        <v>48</v>
      </c>
      <c r="Z6" t="s">
        <v>345</v>
      </c>
      <c r="AK6" t="s">
        <v>49</v>
      </c>
    </row>
    <row r="7" spans="1:38" x14ac:dyDescent="0.25">
      <c r="E7" t="s">
        <v>346</v>
      </c>
      <c r="F7" t="s">
        <v>347</v>
      </c>
      <c r="G7" t="s">
        <v>43</v>
      </c>
      <c r="M7" t="s">
        <v>159</v>
      </c>
      <c r="AK7" t="s">
        <v>75</v>
      </c>
    </row>
    <row r="8" spans="1:38" x14ac:dyDescent="0.25">
      <c r="E8" t="s">
        <v>348</v>
      </c>
      <c r="F8" t="s">
        <v>134</v>
      </c>
      <c r="G8" t="s">
        <v>135</v>
      </c>
      <c r="M8" t="s">
        <v>349</v>
      </c>
      <c r="AK8" t="s">
        <v>142</v>
      </c>
    </row>
    <row r="9" spans="1:38" x14ac:dyDescent="0.25">
      <c r="E9" t="s">
        <v>350</v>
      </c>
      <c r="F9" t="s">
        <v>116</v>
      </c>
      <c r="G9" t="s">
        <v>117</v>
      </c>
      <c r="M9" t="s">
        <v>320</v>
      </c>
      <c r="AK9" t="s">
        <v>175</v>
      </c>
    </row>
    <row r="10" spans="1:38" x14ac:dyDescent="0.25">
      <c r="E10" t="s">
        <v>351</v>
      </c>
      <c r="F10" t="s">
        <v>123</v>
      </c>
      <c r="M10" t="s">
        <v>148</v>
      </c>
      <c r="AK10" t="s">
        <v>55</v>
      </c>
    </row>
    <row r="11" spans="1:38" x14ac:dyDescent="0.25">
      <c r="E11" t="s">
        <v>352</v>
      </c>
      <c r="F11" t="s">
        <v>87</v>
      </c>
      <c r="M11" t="s">
        <v>179</v>
      </c>
    </row>
    <row r="12" spans="1:38" x14ac:dyDescent="0.25">
      <c r="E12" t="s">
        <v>112</v>
      </c>
      <c r="F12" t="s">
        <v>353</v>
      </c>
      <c r="M12" t="s">
        <v>209</v>
      </c>
    </row>
    <row r="13" spans="1:38" x14ac:dyDescent="0.25">
      <c r="E13" t="s">
        <v>164</v>
      </c>
      <c r="F13" t="s">
        <v>79</v>
      </c>
      <c r="M13" t="s">
        <v>82</v>
      </c>
    </row>
    <row r="14" spans="1:38" x14ac:dyDescent="0.25">
      <c r="E14" t="s">
        <v>190</v>
      </c>
      <c r="F14" t="s">
        <v>183</v>
      </c>
      <c r="M14" t="s">
        <v>98</v>
      </c>
    </row>
    <row r="15" spans="1:38" x14ac:dyDescent="0.25">
      <c r="E15" t="s">
        <v>287</v>
      </c>
      <c r="F15" t="s">
        <v>59</v>
      </c>
      <c r="M15" t="s">
        <v>110</v>
      </c>
    </row>
    <row r="16" spans="1:38" x14ac:dyDescent="0.25">
      <c r="E16" t="s">
        <v>354</v>
      </c>
      <c r="F16" t="s">
        <v>302</v>
      </c>
      <c r="M16" t="s">
        <v>54</v>
      </c>
    </row>
    <row r="17" spans="5:6" x14ac:dyDescent="0.25">
      <c r="E17" t="s">
        <v>277</v>
      </c>
      <c r="F17" t="s">
        <v>165</v>
      </c>
    </row>
    <row r="18" spans="5:6" x14ac:dyDescent="0.25">
      <c r="E18" t="s">
        <v>355</v>
      </c>
      <c r="F18" t="s">
        <v>92</v>
      </c>
    </row>
    <row r="19" spans="5:6" x14ac:dyDescent="0.25">
      <c r="E19" t="s">
        <v>356</v>
      </c>
      <c r="F19" t="s">
        <v>208</v>
      </c>
    </row>
    <row r="20" spans="5:6" x14ac:dyDescent="0.25">
      <c r="E20" t="s">
        <v>213</v>
      </c>
    </row>
    <row r="21" spans="5:6" x14ac:dyDescent="0.25">
      <c r="E21" t="s">
        <v>187</v>
      </c>
    </row>
    <row r="22" spans="5:6" x14ac:dyDescent="0.25">
      <c r="E22" t="s">
        <v>239</v>
      </c>
    </row>
    <row r="23" spans="5:6" x14ac:dyDescent="0.25">
      <c r="E23" t="s">
        <v>78</v>
      </c>
    </row>
    <row r="24" spans="5:6" x14ac:dyDescent="0.25">
      <c r="E24" t="s">
        <v>41</v>
      </c>
    </row>
    <row r="25" spans="5:6" x14ac:dyDescent="0.25">
      <c r="E25" t="s">
        <v>185</v>
      </c>
    </row>
  </sheetData>
  <dataValidations count="1">
    <dataValidation type="list" allowBlank="1" sqref="X3:X4" xr:uid="{FB273EB6-FE10-4292-BD2E-CD83F2F3772C}">
      <formula1>"Confirmed - New event,Confirmed - but not new event,Discarded,Pending verification,Unverifiable,Keep monitoring,"</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DFC3974F56844295E420FE765DA9E6" ma:contentTypeVersion="15" ma:contentTypeDescription="Create a new document." ma:contentTypeScope="" ma:versionID="6504a4ed6dfc64c67a41e771fb36c97a">
  <xsd:schema xmlns:xsd="http://www.w3.org/2001/XMLSchema" xmlns:xs="http://www.w3.org/2001/XMLSchema" xmlns:p="http://schemas.microsoft.com/office/2006/metadata/properties" xmlns:ns2="df85f550-dda7-4907-9bf8-7b2c2d3501c2" xmlns:ns3="fd0ce572-c2bb-42aa-ade2-d794e1c3f729" targetNamespace="http://schemas.microsoft.com/office/2006/metadata/properties" ma:root="true" ma:fieldsID="8926f7584dd7925709710433db666ffc" ns2:_="" ns3:_="">
    <xsd:import namespace="df85f550-dda7-4907-9bf8-7b2c2d3501c2"/>
    <xsd:import namespace="fd0ce572-c2bb-42aa-ade2-d794e1c3f72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5f550-dda7-4907-9bf8-7b2c2d3501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0ce572-c2bb-42aa-ade2-d794e1c3f72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8f0221f-f3b3-47a4-becd-fb9dfa34b3ec}" ma:internalName="TaxCatchAll" ma:showField="CatchAllData" ma:web="fd0ce572-c2bb-42aa-ade2-d794e1c3f7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85f550-dda7-4907-9bf8-7b2c2d3501c2">
      <Terms xmlns="http://schemas.microsoft.com/office/infopath/2007/PartnerControls"/>
    </lcf76f155ced4ddcb4097134ff3c332f>
    <TaxCatchAll xmlns="fd0ce572-c2bb-42aa-ade2-d794e1c3f729" xsi:nil="true"/>
  </documentManagement>
</p:properties>
</file>

<file path=customXml/itemProps1.xml><?xml version="1.0" encoding="utf-8"?>
<ds:datastoreItem xmlns:ds="http://schemas.openxmlformats.org/officeDocument/2006/customXml" ds:itemID="{D2C983FD-03ED-43A0-8320-E6B5908C34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85f550-dda7-4907-9bf8-7b2c2d3501c2"/>
    <ds:schemaRef ds:uri="fd0ce572-c2bb-42aa-ade2-d794e1c3f7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7C5780-2033-4447-9491-B693C583E328}">
  <ds:schemaRefs>
    <ds:schemaRef ds:uri="http://schemas.microsoft.com/sharepoint/v3/contenttype/forms"/>
  </ds:schemaRefs>
</ds:datastoreItem>
</file>

<file path=customXml/itemProps3.xml><?xml version="1.0" encoding="utf-8"?>
<ds:datastoreItem xmlns:ds="http://schemas.openxmlformats.org/officeDocument/2006/customXml" ds:itemID="{A8BCCC35-D28D-4070-8417-77D795580181}">
  <ds:schemaRefs>
    <ds:schemaRef ds:uri="http://purl.org/dc/elements/1.1/"/>
    <ds:schemaRef ds:uri="http://schemas.openxmlformats.org/package/2006/metadata/core-properties"/>
    <ds:schemaRef ds:uri="http://purl.org/dc/terms/"/>
    <ds:schemaRef ds:uri="df85f550-dda7-4907-9bf8-7b2c2d3501c2"/>
    <ds:schemaRef ds:uri="http://purl.org/dc/dcmitype/"/>
    <ds:schemaRef ds:uri="http://schemas.microsoft.com/office/2006/documentManagement/types"/>
    <ds:schemaRef ds:uri="http://schemas.microsoft.com/office/infopath/2007/PartnerControls"/>
    <ds:schemaRef ds:uri="fd0ce572-c2bb-42aa-ade2-d794e1c3f72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Signals list</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Valerie Mize</dc:creator>
  <cp:keywords/>
  <dc:description/>
  <cp:lastModifiedBy>Weston, Emily (CDC/GHC/DGHP)</cp:lastModifiedBy>
  <cp:revision/>
  <dcterms:created xsi:type="dcterms:W3CDTF">2024-04-02T19:54:14Z</dcterms:created>
  <dcterms:modified xsi:type="dcterms:W3CDTF">2026-06-14T22:29:11Z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2024-04-02T21:11:44Z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ae615e40-6cdf-4a93-8a79-9b434346b1f8</vt:lpwstr>
  </property>
  <property fmtid="{D5CDD505-2E9C-101B-9397-08002B2CF9AE}" pid="8" name="MSIP_Label_7b94a7b8-f06c-4dfe-bdcc-9b548fd58c31_ContentBits">
    <vt:lpwstr>0</vt:lpwstr>
  </property>
  <property fmtid="{D5CDD505-2E9C-101B-9397-08002B2CF9AE}" pid="9" name="ContentTypeId">
    <vt:lpwstr>0x01010018DFC3974F56844295E420FE765DA9E6</vt:lpwstr>
  </property>
  <property fmtid="{D5CDD505-2E9C-101B-9397-08002B2CF9AE}" pid="10" name="MediaServiceImageTags">
    <vt:lpwstr/>
  </property>
</Properties>
</file>