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kerstinsvendsen/Downloads/October 2025/Formatted/"/>
    </mc:Choice>
  </mc:AlternateContent>
  <xr:revisionPtr revIDLastSave="0" documentId="8_{97AF41B6-9EAD-F947-8A65-AA5FCABC70EB}" xr6:coauthVersionLast="47" xr6:coauthVersionMax="47" xr10:uidLastSave="{00000000-0000-0000-0000-000000000000}"/>
  <bookViews>
    <workbookView xWindow="1860" yWindow="1860" windowWidth="39500" windowHeight="21040" activeTab="2" xr2:uid="{00000000-000D-0000-FFFF-FFFF00000000}"/>
  </bookViews>
  <sheets>
    <sheet name="Instructions" sheetId="13" r:id="rId1"/>
    <sheet name="Process and Completeness" sheetId="2" r:id="rId2"/>
    <sheet name="Timeliness" sheetId="14" r:id="rId3"/>
  </sheets>
  <definedNames>
    <definedName name="_xleta.IFERROR" hidden="1" xlm="1">#NAME?</definedName>
    <definedName name="_xleta.SUM"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4" l="1"/>
  <c r="E12" i="14"/>
  <c r="P6" i="2"/>
  <c r="P7" i="2"/>
  <c r="P8" i="2"/>
  <c r="P14" i="2"/>
  <c r="P18" i="2"/>
  <c r="P23" i="2"/>
  <c r="P5" i="2"/>
  <c r="K6" i="2"/>
  <c r="F14" i="2"/>
  <c r="D14" i="2"/>
  <c r="C9" i="2"/>
  <c r="D10" i="2"/>
  <c r="AA7" i="2"/>
  <c r="AB7" i="2"/>
  <c r="AC7" i="2"/>
  <c r="AD7" i="2"/>
  <c r="A3" i="2"/>
  <c r="J16" i="14"/>
  <c r="J14" i="14"/>
  <c r="J12" i="14"/>
  <c r="J10" i="14"/>
  <c r="I16" i="14"/>
  <c r="I14" i="14"/>
  <c r="I12" i="14"/>
  <c r="I6" i="14"/>
  <c r="J6" i="14"/>
  <c r="C8" i="14"/>
  <c r="I8" i="14"/>
  <c r="G16" i="14"/>
  <c r="G14" i="14"/>
  <c r="G12" i="14"/>
  <c r="G10" i="14"/>
  <c r="G8" i="14"/>
  <c r="E16" i="14"/>
  <c r="E14" i="14"/>
  <c r="E10" i="14"/>
  <c r="C16" i="14"/>
  <c r="C14" i="14"/>
  <c r="C12" i="14"/>
  <c r="C10" i="14"/>
  <c r="W8" i="2"/>
  <c r="W7" i="2"/>
  <c r="V7" i="2"/>
  <c r="W6" i="2"/>
  <c r="V8" i="2"/>
  <c r="W27" i="2"/>
  <c r="K10" i="2"/>
  <c r="X27" i="2"/>
  <c r="V27" i="2"/>
  <c r="T27" i="2"/>
  <c r="R27" i="2"/>
  <c r="P27" i="2"/>
  <c r="W26" i="2"/>
  <c r="E9" i="2"/>
  <c r="G9" i="2"/>
  <c r="I9" i="2"/>
  <c r="K9" i="2"/>
  <c r="X26" i="2"/>
  <c r="V26" i="2"/>
  <c r="T26" i="2"/>
  <c r="R26" i="2"/>
  <c r="P26" i="2"/>
  <c r="W25" i="2"/>
  <c r="K8" i="2"/>
  <c r="X25" i="2"/>
  <c r="V25" i="2"/>
  <c r="T25" i="2"/>
  <c r="R25" i="2"/>
  <c r="P25" i="2"/>
  <c r="W24" i="2"/>
  <c r="K7" i="2"/>
  <c r="X24" i="2"/>
  <c r="V24" i="2"/>
  <c r="T24" i="2"/>
  <c r="R24" i="2"/>
  <c r="P24" i="2"/>
  <c r="W23" i="2"/>
  <c r="X23" i="2"/>
  <c r="V23" i="2"/>
  <c r="T23" i="2"/>
  <c r="R23" i="2"/>
  <c r="W18" i="2"/>
  <c r="X18" i="2" a="1"/>
  <c r="X18" i="2"/>
  <c r="V18" i="2"/>
  <c r="T18" i="2"/>
  <c r="R18" i="2"/>
  <c r="W14" i="2"/>
  <c r="X14" i="2" a="1"/>
  <c r="X14" i="2"/>
  <c r="V14" i="2"/>
  <c r="T14" i="2"/>
  <c r="F5" i="14"/>
  <c r="G6" i="14" s="1"/>
  <c r="D5" i="14"/>
  <c r="E6" i="14" s="1"/>
  <c r="B5" i="14"/>
  <c r="C6" i="14" s="1"/>
  <c r="J8" i="14"/>
  <c r="K8" i="14" s="1"/>
  <c r="R14" i="2"/>
  <c r="X8" i="2"/>
  <c r="T8" i="2"/>
  <c r="R8" i="2"/>
  <c r="X7" i="2"/>
  <c r="T7" i="2"/>
  <c r="R7" i="2"/>
  <c r="K5" i="2"/>
  <c r="L6" i="2" s="1"/>
  <c r="X6" i="2"/>
  <c r="V6" i="2"/>
  <c r="T6" i="2"/>
  <c r="R6" i="2"/>
  <c r="K4" i="2"/>
  <c r="L4" i="2" s="1"/>
  <c r="W5" i="2"/>
  <c r="X5" i="2"/>
  <c r="V5" i="2"/>
  <c r="T5" i="2"/>
  <c r="R5" i="2"/>
  <c r="K21" i="2"/>
  <c r="K17" i="2"/>
  <c r="L21" i="2"/>
  <c r="K20" i="2"/>
  <c r="K16" i="2"/>
  <c r="L20" i="2"/>
  <c r="K19" i="2"/>
  <c r="K15" i="2"/>
  <c r="L19" i="2"/>
  <c r="K18" i="2"/>
  <c r="K14" i="2"/>
  <c r="L18" i="2"/>
  <c r="K13" i="2"/>
  <c r="L17" i="2"/>
  <c r="K12" i="2"/>
  <c r="L16" i="2"/>
  <c r="K11" i="2"/>
  <c r="L15" i="2"/>
  <c r="L13" i="2"/>
  <c r="L12" i="2"/>
  <c r="L11" i="2"/>
  <c r="L10" i="2"/>
  <c r="L8" i="2"/>
  <c r="L14" i="2"/>
  <c r="L9" i="2"/>
  <c r="J5" i="14"/>
  <c r="K6" i="14" s="1"/>
  <c r="I10" i="14"/>
  <c r="A4" i="14"/>
  <c r="X4" i="2"/>
  <c r="N4" i="2"/>
  <c r="J21" i="2"/>
  <c r="H21" i="2"/>
  <c r="F21" i="2"/>
  <c r="D21" i="2"/>
  <c r="J4" i="2"/>
  <c r="J5" i="2"/>
  <c r="J20" i="2"/>
  <c r="J19" i="2"/>
  <c r="J18" i="2"/>
  <c r="J17" i="2"/>
  <c r="J16" i="2"/>
  <c r="J15" i="2"/>
  <c r="J14" i="2"/>
  <c r="J13" i="2"/>
  <c r="J12" i="2"/>
  <c r="J11" i="2"/>
  <c r="J10" i="2"/>
  <c r="J9" i="2"/>
  <c r="J8" i="2"/>
  <c r="J7" i="2"/>
  <c r="H5" i="2"/>
  <c r="H4" i="2"/>
  <c r="H20" i="2"/>
  <c r="H19" i="2"/>
  <c r="H18" i="2"/>
  <c r="H17" i="2"/>
  <c r="H16" i="2"/>
  <c r="H15" i="2"/>
  <c r="H14" i="2"/>
  <c r="H13" i="2"/>
  <c r="H12" i="2"/>
  <c r="H11" i="2"/>
  <c r="H10" i="2"/>
  <c r="H9" i="2"/>
  <c r="H8" i="2"/>
  <c r="H7" i="2"/>
  <c r="F4" i="2"/>
  <c r="F5" i="2"/>
  <c r="F20" i="2"/>
  <c r="F19" i="2"/>
  <c r="F18" i="2"/>
  <c r="F17" i="2"/>
  <c r="F16" i="2"/>
  <c r="F15" i="2"/>
  <c r="F13" i="2"/>
  <c r="F12" i="2"/>
  <c r="F11" i="2"/>
  <c r="F10" i="2"/>
  <c r="F9" i="2"/>
  <c r="F8" i="2"/>
  <c r="F7" i="2"/>
  <c r="D20" i="2"/>
  <c r="D19" i="2"/>
  <c r="D18" i="2"/>
  <c r="D16" i="2"/>
  <c r="D17" i="2"/>
  <c r="D15" i="2"/>
  <c r="D13" i="2"/>
  <c r="D12" i="2"/>
  <c r="D11" i="2"/>
  <c r="D9" i="2"/>
  <c r="D8" i="2"/>
  <c r="D7" i="2"/>
  <c r="D5" i="2"/>
  <c r="D4" i="2"/>
  <c r="D6" i="2" l="1"/>
  <c r="F6" i="2"/>
  <c r="H6" i="2"/>
  <c r="J6" i="2"/>
  <c r="L5" i="2"/>
  <c r="L7" i="2"/>
  <c r="K16" i="14"/>
  <c r="K14" i="14"/>
  <c r="K12" i="14"/>
  <c r="K10" i="1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<sst xmlns="http://schemas.openxmlformats.org/spreadsheetml/2006/main" count="302" uniqueCount="193">
  <si>
    <t>Analysis Type</t>
  </si>
  <si>
    <t>Order</t>
  </si>
  <si>
    <t xml:space="preserve">Element </t>
  </si>
  <si>
    <t>Definition</t>
  </si>
  <si>
    <t>Instructions</t>
  </si>
  <si>
    <t>Valid Values</t>
  </si>
  <si>
    <t>Indicator</t>
  </si>
  <si>
    <t>Follow-up</t>
  </si>
  <si>
    <t>Process</t>
  </si>
  <si>
    <t>Signals Detected</t>
  </si>
  <si>
    <t>Proportions of signals detected and reported for triage</t>
  </si>
  <si>
    <t>Enter the number of signals detected by modality: hotline (C5), media scan (E4), facility (G4), community (I4).  Enter "0" if no signals detected for a given modality. The total number of signals (K4) will auto total.  Do not enter the total.</t>
  </si>
  <si>
    <r>
      <t xml:space="preserve">Integers </t>
    </r>
    <r>
      <rPr>
        <sz val="11"/>
        <color theme="1"/>
        <rFont val="Aptos Narrow"/>
        <family val="2"/>
      </rPr>
      <t xml:space="preserve">≥ </t>
    </r>
    <r>
      <rPr>
        <sz val="11"/>
        <color theme="1"/>
        <rFont val="Calibri"/>
        <family val="2"/>
        <scheme val="minor"/>
      </rPr>
      <t>0 (i.e. 0, 1,2,3,etc)</t>
    </r>
  </si>
  <si>
    <t>Total number of signals detected (K4) and percent of total signals detected that are hotline (D4) , media scan (F4), facility (H4), and community (J4)</t>
  </si>
  <si>
    <t xml:space="preserve">If the number of detected signals has large increases or decreases for a given time period that are not expected based on prior trends/seasonality/etc., it may be the first warning of change in disease trends, but more likely change in sensitivity and specificity of EBS system and should be investigated. </t>
  </si>
  <si>
    <t xml:space="preserve">Signals that passed triage </t>
  </si>
  <si>
    <t>Propotions of reported signals that undergo and pass triage</t>
  </si>
  <si>
    <t>Enter the number of reported signals remaining after screening by modality: hotline (C5), media scan (E5), facility (G5), community (I5).  Enter "0" if no signal passed triage for a given modality. The total number of signals (K5) will auto total.  Do not enter the total.</t>
  </si>
  <si>
    <r>
      <rPr>
        <sz val="11"/>
        <color rgb="FF000000"/>
        <rFont val="Calibri"/>
        <family val="2"/>
      </rPr>
      <t xml:space="preserve">Integers </t>
    </r>
    <r>
      <rPr>
        <sz val="11"/>
        <color rgb="FF000000"/>
        <rFont val="Aptos Narrow"/>
      </rPr>
      <t xml:space="preserve">≥ </t>
    </r>
    <r>
      <rPr>
        <sz val="11"/>
        <color rgb="FF000000"/>
        <rFont val="Calibri"/>
        <family val="2"/>
      </rPr>
      <t xml:space="preserve">0 (i.e. 0, 1,2,3,etc) and  C5 </t>
    </r>
    <r>
      <rPr>
        <sz val="11"/>
        <color rgb="FF000000"/>
        <rFont val="Aptos Narrow"/>
      </rPr>
      <t xml:space="preserve">≤ </t>
    </r>
    <r>
      <rPr>
        <sz val="11"/>
        <color rgb="FF000000"/>
        <rFont val="Calibri"/>
        <family val="2"/>
      </rPr>
      <t>C4, E5 ≤ E4, G5 ≤ G4, I5 ≤ I4</t>
    </r>
  </si>
  <si>
    <t>Total number of (K5) and percent of (L5) signals that passed triage. Percent of signals that passed triage by hotline (D5), media (F5), facility (H5), and community (J5).</t>
  </si>
  <si>
    <t>If the proportion of signals that pass triage is small (e.g., 30% or less), look at reason why the signal is being discarded to understand if the triage process or signal definition needs to be improved.   </t>
  </si>
  <si>
    <t>Signals undergoing verification</t>
  </si>
  <si>
    <t>Proportion of signals that pass triage and ungergo verification</t>
  </si>
  <si>
    <t>Enter the number of signals that pass triage and undergo verification, stratified by modality: hotline (C6), media scan (E6), facility (G6), community (I6). Enter "0" if no signal undergoes verification for a given modality. The total number of signals (K6) will auto total.  Do not enter the total.</t>
  </si>
  <si>
    <r>
      <rPr>
        <sz val="11"/>
        <color rgb="FF000000"/>
        <rFont val="Calibri"/>
        <family val="2"/>
      </rPr>
      <t xml:space="preserve">Integers </t>
    </r>
    <r>
      <rPr>
        <sz val="11"/>
        <color rgb="FF000000"/>
        <rFont val="Aptos Narrow"/>
      </rPr>
      <t xml:space="preserve">≥ </t>
    </r>
    <r>
      <rPr>
        <sz val="11"/>
        <color rgb="FF000000"/>
        <rFont val="Calibri"/>
        <family val="2"/>
      </rPr>
      <t xml:space="preserve">0 (i.e. 0, 1,2,3,etc) and  C6 </t>
    </r>
    <r>
      <rPr>
        <sz val="11"/>
        <color rgb="FF000000"/>
        <rFont val="Aptos Narrow"/>
      </rPr>
      <t xml:space="preserve">≤ </t>
    </r>
    <r>
      <rPr>
        <sz val="11"/>
        <color rgb="FF000000"/>
        <rFont val="Calibri"/>
        <family val="2"/>
      </rPr>
      <t>C5, E6 ≤ E5, G6 ≤ G5, I6 ≤ I5</t>
    </r>
  </si>
  <si>
    <t>Total number of (K6) and percent of (L6) signals undergoing verification. Percent of signals undergoing verification by hotline (D6), media (F6), facility (H6), and community (J6).</t>
  </si>
  <si>
    <t>It is uncommon for signals that pass triage to not be able to undergo verification - in this case the triaged signals lack the information to attempt to verify the signal (e.g. cannot reach original contact, original report author cannot be reached). If there are many signals that cannot undergo verification, it is important to ensure that when signals are obtained proper follow up contact information is recorded.</t>
  </si>
  <si>
    <t>Signals verified as events</t>
  </si>
  <si>
    <t>Proportion of signals undergoing verification that are determined to be true events</t>
  </si>
  <si>
    <t>Provide the number of verified signals determined to be true events by modality: hotline (C7), media scan (E7), facility (G7), community (I7).  Enter "0" if no signal was verified as an event detected for a given modality. The total number of signals (K7) will auto total.  Do not enter the total.</t>
  </si>
  <si>
    <r>
      <rPr>
        <sz val="11"/>
        <color rgb="FF000000"/>
        <rFont val="Calibri"/>
        <family val="2"/>
      </rPr>
      <t xml:space="preserve">Integers </t>
    </r>
    <r>
      <rPr>
        <sz val="11"/>
        <color rgb="FF000000"/>
        <rFont val="Aptos Narrow"/>
      </rPr>
      <t>≥</t>
    </r>
    <r>
      <rPr>
        <sz val="11"/>
        <color rgb="FF000000"/>
        <rFont val="Calibri"/>
        <family val="2"/>
      </rPr>
      <t xml:space="preserve"> 0 (i.e. 0, 1,2,3,etc) and  C7 ≤ C6, E7 ≤ E6, G7 ≤ G6, I7 ≤ I6</t>
    </r>
  </si>
  <si>
    <t>Total number of (K7) signals that were verified as events.  Percent of signals verified as events by hotline(D7), media (F7), facility (H7), and community (J7).</t>
  </si>
  <si>
    <t>All signals that pass triage should undergo verification. If a large proportion (e.g., &gt;70%) of signals that pass triage were not verified as events, why? Were they discarded as not being true or was the process of verification not completed, and why? If you are unable to verify signals, you may need to identify new focal points or better understand why the existing focal points are not available to support this function.   </t>
  </si>
  <si>
    <t>Events that undergo risk assessment</t>
  </si>
  <si>
    <t>Proportion of true events that undergo risk assessment</t>
  </si>
  <si>
    <t>Provide the number of true events that have undergone risk assessment by modality: hotline (C8), media scan (E8), facility (G8), community (I8).  Enter "0" if no signal was verified as an event detected for a given modality. The total number of signals (K8) will auto total.  Do not enter the total.</t>
  </si>
  <si>
    <r>
      <t xml:space="preserve">Integers </t>
    </r>
    <r>
      <rPr>
        <sz val="11"/>
        <color theme="1"/>
        <rFont val="Aptos Narrow"/>
        <family val="2"/>
      </rPr>
      <t>≥</t>
    </r>
    <r>
      <rPr>
        <sz val="11"/>
        <color theme="1"/>
        <rFont val="Calibri"/>
        <family val="2"/>
      </rPr>
      <t xml:space="preserve"> </t>
    </r>
    <r>
      <rPr>
        <sz val="11"/>
        <color theme="1"/>
        <rFont val="Calibri"/>
        <family val="2"/>
        <scheme val="minor"/>
      </rPr>
      <t>0 (i.e. 0, 1,2,3,etc) and  C8</t>
    </r>
    <r>
      <rPr>
        <sz val="11"/>
        <color theme="1"/>
        <rFont val="Aptos Narrow"/>
        <family val="2"/>
      </rPr>
      <t>≤</t>
    </r>
    <r>
      <rPr>
        <sz val="11"/>
        <color theme="1"/>
        <rFont val="Calibri"/>
        <family val="2"/>
      </rPr>
      <t>C7,</t>
    </r>
    <r>
      <rPr>
        <sz val="11"/>
        <color theme="1"/>
        <rFont val="Calibri"/>
        <family val="2"/>
        <scheme val="minor"/>
      </rPr>
      <t xml:space="preserve">  E8 ≤ E7, G8 ≤ G7, I8 ≤ I7</t>
    </r>
  </si>
  <si>
    <t>Total number of (K8) of events that undergo risk assessment. Percent of events that undergo risk assessment by hotline (D8), media (F8), facility (H8), and community (J8).</t>
  </si>
  <si>
    <t>All events should undergo the process of risk assessment. If any events are not undergoing this process, the team conducting this should be consulted to understand the reason and if retraining is needed.   </t>
  </si>
  <si>
    <t xml:space="preserve">Events that did not undergo risk assessment </t>
  </si>
  <si>
    <t>Propotion of true events that did not undergo risk assessment</t>
  </si>
  <si>
    <t>Automatically calculated field.</t>
  </si>
  <si>
    <t>Do not enter data.</t>
  </si>
  <si>
    <r>
      <rPr>
        <sz val="11"/>
        <color rgb="FFFF0000"/>
        <rFont val="Calibri"/>
        <family val="2"/>
        <scheme val="minor"/>
      </rPr>
      <t xml:space="preserve"> </t>
    </r>
    <r>
      <rPr>
        <sz val="11"/>
        <rFont val="Calibri"/>
        <family val="2"/>
        <scheme val="minor"/>
      </rPr>
      <t>Total number of (K9) events that did not undergo risk assessment.  Total number and percent of events that did not undergo risk assessment by hotline (C9, D9), media (E9, F9), facility (G9, H9), and community (I9, J9).</t>
    </r>
  </si>
  <si>
    <t>Events characterized by risk level</t>
  </si>
  <si>
    <t>Proportion of true events that are characterized by risk level</t>
  </si>
  <si>
    <t>Provide the number of events that were characterized as very high, high, moderate, and low risk  by hotline (C10, C11, C12, C13), media scan (E10, E11, E12, E13), facility (G10, G11, G12, G13), and community (I10, I11, I12, I13).  Enter "0" if no events were characterized.  The total number of very high, high, moderate, and low will automatically fill.  Do not enter the total. If risk level is not differentiated, assume all events are very high risk</t>
  </si>
  <si>
    <r>
      <t>Integers ≥ 0 (i.e. 0, 1,2,3,etc).  C10+C11+C12+C13</t>
    </r>
    <r>
      <rPr>
        <sz val="11"/>
        <rFont val="Aptos Narrow"/>
        <family val="2"/>
      </rPr>
      <t>≤</t>
    </r>
    <r>
      <rPr>
        <sz val="11"/>
        <rFont val="Calibri"/>
        <family val="2"/>
      </rPr>
      <t>C8 and E10+E11+E12+E13≤E8  and G10+G11+G12+G13≤G8 and I10+I11+I12+I13≤I8</t>
    </r>
  </si>
  <si>
    <t>Total number and percent of events characterized as very high (K10, L10), high (K11, L11), moderate (K12, L12) and low ( K13, L13) risk.  Percent of events characterized as very high, high, moderate, and low risk by hotline (D10, D11, D12, D13), media (F10, F11, F12, F13), facility (H10, H11, H12, H13), and community (J10, J11, J12, J13.</t>
  </si>
  <si>
    <t>If a large proportion (e.g. &gt;70%) of events are assigned a high or very high level of risk, a risk assessment validation exercise should be performed to ensure the appropriate level of risk is being assigned or if retraining is needed. </t>
  </si>
  <si>
    <t>Events where an alert was issued</t>
  </si>
  <si>
    <t>Proportion of risk assessed events where an alert was issued for for response</t>
  </si>
  <si>
    <t xml:space="preserve">Provide the number of events where a very high, high, moderate, or low  alert was issued by modality: hotline (C15, C16, C17, C18), media (E15, E16, E17,E18), facility (G15, G16, G17, G18), and community (I15, I16, I17, I18). Enter "0" if no alerts were issued. The total number of  very high, high, moderate, and low alerts will automatically fill. Do not enter the totals. </t>
  </si>
  <si>
    <r>
      <t xml:space="preserve">Integers ≥ 0 (i.e. 0, 1,2,3,etc).  C15 </t>
    </r>
    <r>
      <rPr>
        <sz val="11"/>
        <rFont val="Aptos Narrow"/>
        <family val="2"/>
      </rPr>
      <t>≤</t>
    </r>
    <r>
      <rPr>
        <sz val="11"/>
        <rFont val="Calibri"/>
        <family val="2"/>
      </rPr>
      <t xml:space="preserve"> C10, C16 ≤ C11, C17 ≤ C12, C18≤ C13, and  E15 ≤ E10, E16 ≤ E11, E17 ≤ E12, E18≤ E13, and G15 ≤ G10, G16 ≤ G11, G17 ≤ G12, G18≤ G13, and I15 ≤ I10, I16 ≤ I11, I17 ≤ I12, I18≤ I13</t>
    </r>
  </si>
  <si>
    <t>Total number and percent of events where very high (K15, L15), high (K16, L16), moderate (K17, L17), or low (K18, L18) alert was issued. Percent of events where a very high, high, moderate, or low alert was issued  by modality: hotline (D15, D16, D17, D18, media (F15, F16, F17, F18), facility (H15, H16, H17, H18), and community (J15, J16, J17, J18).</t>
  </si>
  <si>
    <t>Alerts should theoretically be issued for ALL events, if there are a large proportion of events where alerts are not being issued, this may require further analysis to understand why. Are these events that are primarily low risk and may not require an alert for action or is there a breakdown in communication between the team issuing alerts and those that respond to them.   </t>
  </si>
  <si>
    <t>Events assessed where an alert for response was issued and responded to</t>
  </si>
  <si>
    <t>Proportion of risk assessed alerts that were responded to</t>
  </si>
  <si>
    <t>Provide the number of events assessed where a very high, high, moderate, or low  alert for response  was issued and responded to  by modality: hotline (C19, C20, C21, C22), media (E19, E20, E21, E22), facility (G19, G20, G21, G22), and community (I19, I20, I21, I22). Enter "0" if no responses issued.  The total number of very high, high, moderate, or low alerts for responses will automatically fill.  Do not enter total.</t>
  </si>
  <si>
    <t>Integers ≥ 0 (i.e. 0, 1,2,3,etc).  C19 ≤ C15, C20 ≤ C16, C21 ≤ C17, C22≤ C18, and   E19 ≤ E15, E20 ≤ E16, E21 ≤ E17, E22≤ E18, and  G19 ≤ G15, G20 ≤ G16, G21 ≤ G17, G22≤ G18, and  I19 ≤ I15, I20 ≤ I16, I21 ≤ I17, I22≤ I18.</t>
  </si>
  <si>
    <t>Total number and percent of events assessed where a very high (K19, L19), high (K20, L20),  moderate (K21, L21), or low (K22, L22) alert for response was issued and responded to. Percent of events assessed where a very high, high, moderate, or low alert for response was issued and responded to by modality: hotline (D19, D20, D21, D22), media (F19, F20, F21, F22), facility (H19, H20, H21, H22), and community (I19, I20, I21, I22).</t>
  </si>
  <si>
    <t>For events where the risk has been characterized as low or moderate, a response may not be needed. However, if a large proportion of high/very high risk events are not being responded to, why is this not being done? Additional analysis may be warranted to better understand any bottleneck associated with not being able to adequately respond or if the risk level was inappropriately mark higher than it should have been.   </t>
  </si>
  <si>
    <t>Sites Reporting by EBS Modality</t>
  </si>
  <si>
    <t>Indicates the number and percentage of sites reporting by the type of modality they are conducting at the site. Note: not all sites may be implementing all modalities.</t>
  </si>
  <si>
    <t>Provide the total number of sites reporting by modality : hotline (AA5), media (AB5), facility (AC5), and community (AD5).  Enter "0" if no sites reporting.  Also enter the total number of sites by by modality: hotline (AA6), media (AB6), facility (AC6), and community (AD6). The percent of each modality reporting will automatically calculate.</t>
  </si>
  <si>
    <r>
      <rPr>
        <sz val="11"/>
        <color rgb="FF000000"/>
        <rFont val="Calibri"/>
        <family val="2"/>
        <scheme val="minor"/>
      </rPr>
      <t xml:space="preserve">integers </t>
    </r>
    <r>
      <rPr>
        <sz val="11"/>
        <color rgb="FF000000"/>
        <rFont val="Aptos Narrow"/>
      </rPr>
      <t>≥</t>
    </r>
    <r>
      <rPr>
        <sz val="11"/>
        <color rgb="FF000000"/>
        <rFont val="Calibri"/>
        <family val="2"/>
        <scheme val="minor"/>
      </rPr>
      <t xml:space="preserve"> 0 (i.e. 0, 1,2,3,etc)</t>
    </r>
  </si>
  <si>
    <t>The number of sites reporting each EBS modality (hotline: AA5, media: AB5, facility: AC5, community: AD5) and the percentage of sites employing that modality (hotline: AA6, media: AB6, facilty: AC6, community: AD6).</t>
  </si>
  <si>
    <t>Each modality has advantages and disadvantages, and while ideally all modalities could be used, limited resources may limit extent of multimodal data collection. This will highlight which modalities are most relied upon amongst all sites.</t>
  </si>
  <si>
    <t>Completeness</t>
  </si>
  <si>
    <t>Signals reported with event reported date present</t>
  </si>
  <si>
    <t>Date signal first reported includes month, day, year</t>
  </si>
  <si>
    <t>Provide number of signals with a complete date (month, day and year) recorded by modality: hotline (O5), media (Q5), facility (S5), and community (U5).  Enter "0" if no signals have complete dates recorded.  The total number of signals with complete dates will automatically fill.  Do not enter the total.</t>
  </si>
  <si>
    <t>Integers ≥ 0 (i.e. 0, 1,2,3,etc) and  O5 ≤ C5, Q5 ≤ E5, S5 ≤ G5, U5 ≤ I5</t>
  </si>
  <si>
    <t>Total number (W5) and percent (X5) of signals with a complete date (month, day and year) recorded.  Percent of signals with a complete date recorded by modality : hotline (P5), media (R5), facility (T5), community (V5).</t>
  </si>
  <si>
    <t>All signals should have the date of when the signal is first reported. If this number is less than 100%, discussing with EBS team barriers to data entry (ambiguous dates, EBS system issues, etc) is essential.</t>
  </si>
  <si>
    <t>Signals that underwent triage with triage date present</t>
  </si>
  <si>
    <t>Date triage was completed includes month, day, year</t>
  </si>
  <si>
    <t>Provide number of triage dates that are complete (month, day and year) recorded by modality: hotline (O6), media (Q6), facility (S6), and community (U6).  Enter "0" if no triage date are complete.  The total number of complete triage dates will automatically fill.  Do not enter the total.</t>
  </si>
  <si>
    <t>Integers ≥ 0 (i.e. 0, 1,2,3,etc) and  O6 ≤ O5, Q6 ≤ Q5, S6 ≤ S5, U6 ≤ U5</t>
  </si>
  <si>
    <t>Total number (W6) and percent (X6) of completed triage dates (month, day, year).  Percent of completed triage dates by modality:  hotline (P6), media (R6), facility (T6), community (V6).</t>
  </si>
  <si>
    <t>All signals should have the date of when the signal is first triaged. If this number is less than 100%, discussing with EBS team barriers to data entry (team communication, EBS system issues, etc.) is essential. Using indicators above to understand if some signals are not triaged may also identify the cause.</t>
  </si>
  <si>
    <t>Triaged signals that underwent verification with verification date present</t>
  </si>
  <si>
    <t>Date verification was completed includes month, day, year</t>
  </si>
  <si>
    <t>Provide number of verification dates that are complete (month, day and year) recorded by modality: hotline (O7), media (Q7), facility (S7), and community (U7).  Enter "0" if no verification dates are complete.  The total number of complete verification dates will automatically fill.  Do not enter the total.</t>
  </si>
  <si>
    <t>Integers ≥ 0 (i.e. 0, 1,2,3,etc) and  O7 ≤ O6, Q7 ≤ Q6, S7 ≤ S6, U7 ≤ U6</t>
  </si>
  <si>
    <t>Total number (W7) and percent (X7) of complete verification dates (month, day, year).  Percent of completed verification dates by modality:  hotline (P7), media (R7), facility (T7), community (V7).</t>
  </si>
  <si>
    <t>All signals that passed triage should have the date of when they completed verification. If this number is less than 100%, discussing with EBS team barriers to data entry (team communication, EBS system issues, etc.) is essential. Using indicators above to understand if some triaged signals are not verified may also identify the cause.</t>
  </si>
  <si>
    <t>Events that underwent risk assessment with risk assessment date present</t>
  </si>
  <si>
    <t>Date assessment was completed includes month, day, year</t>
  </si>
  <si>
    <t>Provide number of risk assessment dates that are complete (month, day and year) recorded by modality: hotline (O8), media (Q8), facility (S8), and community (U8).  Enter "0" if no risk assessment dates are complete.  The total number of complete risk assessments dates will automatically fill.  Do not enter the total.</t>
  </si>
  <si>
    <t>Integers ≥ 0 (i.e. 0, 1,2,3,etc) and  O8 ≤ O7, Q8 ≤ Q7, S8 ≤ S7, U8 ≤ U7</t>
  </si>
  <si>
    <t>Total number (W8) and percent (X8) of events with complete risk assessment dates (month, day, year).  Percent of completed risk assessment dates by modality:  hotline (P8), media (R8), facility (T8), community (V8).</t>
  </si>
  <si>
    <t>All verified signals (i.e. events) should have the date of when they underwent a rapid risk assessment. If this number is less than 100%, discussing with EBS team barriers to date entry (e.g. difficulty with EBS system,  performing the risk assessment, communication of events to other team members, etc.) is essential. Using indicators above to understand if some events are not having risk assessment performed may also identify the cause.</t>
  </si>
  <si>
    <t>Events assessed where an alert for response was issued with alert date present</t>
  </si>
  <si>
    <t>Date alert was issued includes month, day, year</t>
  </si>
  <si>
    <t>Provide number of alert dates that are complete (month, day and year) recorded by modality: hotline (O15), media (Q15), facility (S15), and community (U15).  Enter "0" if no alert dates are complete.  The total number of complete alert dates will automatically fill.  Do not enter the total.</t>
  </si>
  <si>
    <t>Integers ≥ 0 (i.e. 0, 1,2,3,etc) and  O15 ≤ O8, Q15 ≤ Q8, S15 ≤ S8, U15 ≤ U8</t>
  </si>
  <si>
    <t>Total number (W15) and percent (X15) of events with complete alert dates (month, day, year).  Percent of completed alert dates by modality:  hotline (P15), media (R15), facility (T15), community (V15).</t>
  </si>
  <si>
    <t>All events should have the date of when an alert was issued for response. Ideally these alerted event have also been risk assessed as well. If this number is less than 100%, discussing with EBS team barriers to date entry (e.g. difficulty with EBS system,  performing the risk assessment, perceived need to not generate alert, etc.) is essential. Using indicators above to understand ithe number of risk-assessed signals that do not generate a response may also assist.</t>
  </si>
  <si>
    <t>Events where an alert for response was issued and responded to where date of first response is present</t>
  </si>
  <si>
    <t>Date of first response includes month, day, year</t>
  </si>
  <si>
    <t>Provide number of first response dates that are complete (month, day and year) recorded by modality: hotline (O19), media (Q19), facility (S19), and community (U19).  Enter "0" if no first response dates are complete.  The total number of complete first response dates will automatically fill.  Do not enter the total.</t>
  </si>
  <si>
    <t>Integers ≥ 0 (i.e. 0, 1,2,3,etc) and  O19 ≤ O15, Q19 ≤ Q15, S19 ≤ S15, U19 ≤ U15</t>
  </si>
  <si>
    <t>Total number (W19) and percent (X19) of events with complete first response dates (month, day, year).  Percent of completed first response dates by modality:  hotline (P19), media (R19), facility (T19), community (V19).</t>
  </si>
  <si>
    <t>All alerts should have some level of response initiated with a date recorded. If this number is less than 100%, discussing with EBS team causes for this (perhaps response not generated, communication of date of response not know, etc.) is essential. Using indicators above to understand if some alerts are not responded to may also identify part of the issue.</t>
  </si>
  <si>
    <t>Events reported with location specified</t>
  </si>
  <si>
    <t>Location recorded for the event</t>
  </si>
  <si>
    <t>Provide the number of events where location is specified by modality: hotline (O24), media (Q24), facility (S24), and community (U24).  Enter "0" if not events specify location.  The total number of events with location specified will automatically fill.  Do not enter the total.</t>
  </si>
  <si>
    <t>Integers ≥ 0 (i.e. 0, 1,2,3,etc) and  O24≤ C7, Q24 ≤ E7, S24 ≤ G7, U24 ≤ I7</t>
  </si>
  <si>
    <t>Total number (W24) and percent (X24) of events with location specified. Percent of events with location specified by modality:  hotline (P24), media (R24), facility (T24), and community (V24).</t>
  </si>
  <si>
    <t>All events should have a location of event. If this number is less that 100%, discussing with EBS team as to why (event location ambiguous or missing, issues with WBS system, etc.) is essential.</t>
  </si>
  <si>
    <t>Events reported with source specified</t>
  </si>
  <si>
    <t>Sourced recorded for the event</t>
  </si>
  <si>
    <t>Provide the number of events where source is specified by modality: hotline (O25), media (Q25), facility (S25), and community (U25).  Enter "0" if not events specify source.  The total number of events with source specified will automatically fill.  Do not enter the total.</t>
  </si>
  <si>
    <t>Integers ≥ 0 (i.e. 0, 1,2,3,etc) and  O25≤ C7, Q25 ≤ E7, S25 ≤ G7, U25 ≤ I7</t>
  </si>
  <si>
    <t>Total number (W25) and percent (X25) of events with source specified. Percent of events with source specified by modality:  hotline (P25), media (R25), facility (T25), and community (V25).</t>
  </si>
  <si>
    <t>All events should have a source associatated with the event. If this number is less that 100%, discussing with EBS team as to why (source ambiguous or missing, issues with WBS system, etc.) is essential.</t>
  </si>
  <si>
    <t>Events reported with completed description</t>
  </si>
  <si>
    <t>Complete description for each event recorded</t>
  </si>
  <si>
    <t>Provide the number of events where description is complete by modality: hotline (O26), media (Q26), facility (S26), and community (U26).  Enter "0" if no events have a complete description.  The total number of events with a complete description will automatically fill.  Do not enter the total.</t>
  </si>
  <si>
    <t>Integers ≥ 0 (i.e. 0, 1,2,3,etc) and  O26≤ C7, Q26 ≤ E7, S26 ≤ G7, U26 ≤ I7</t>
  </si>
  <si>
    <t>Total number (W26) and percent (X26) of events with complete description. Percent of events with complete description by modality:  hotline (P26), media (R26), facility (T26), and community (V26).</t>
  </si>
  <si>
    <t>All events should have a complete description of the event. If this number is less that 100%, discussing with EBS team as to why (details are lacking, difficulty obtaining information, issues with WBS system, etc.) is essential.</t>
  </si>
  <si>
    <t>Events reported with all data fields complete</t>
  </si>
  <si>
    <t>Events that have all of the data fields filled in properly are considered complete</t>
  </si>
  <si>
    <t>Provide the number of events where all data fields have been completed by modality: hotline (O27), media (Q27), facility (S27), and community (U27).  Enter "0" if no events have ALL data fields complete.  The total number of events with ALL completed data fields  will automatically fill.  Do not enter the total.</t>
  </si>
  <si>
    <t>Integers ≥ 0 (i.e. 0, 1,2,3,etc) and  O27≤ C7, Q27 ≤ E7, S27 ≤ G7, U27 ≤ I7</t>
  </si>
  <si>
    <t>Total number (W27) and percent (X27) of events with all data fields completed. Percent of events with all data fields completed by modality:  hotline (P27), media (R27), facility (T27), and community (V27).</t>
  </si>
  <si>
    <t>If the number of events reported without complete information is not close to zero or increasing, using some of the other completeness indicators to see what is incomplete is the first step to addressing this.</t>
  </si>
  <si>
    <r>
      <rPr>
        <sz val="11"/>
        <color rgb="FF000000"/>
        <rFont val="Calibri"/>
        <family val="2"/>
      </rPr>
      <t xml:space="preserve">Percent of events with </t>
    </r>
    <r>
      <rPr>
        <sz val="11"/>
        <color rgb="FF000000"/>
        <rFont val="Aptos Narrow"/>
      </rPr>
      <t>≥</t>
    </r>
    <r>
      <rPr>
        <sz val="11"/>
        <color rgb="FF000000"/>
        <rFont val="Calibri"/>
        <family val="2"/>
      </rPr>
      <t xml:space="preserve"> 90% of all fields complete</t>
    </r>
  </si>
  <si>
    <t>For each event, this evaluates if at least 90% of the data fields for that event are filled in properly</t>
  </si>
  <si>
    <r>
      <rPr>
        <sz val="11"/>
        <color rgb="FF000000"/>
        <rFont val="Calibri"/>
        <family val="2"/>
      </rPr>
      <t xml:space="preserve">Provide the number of events where </t>
    </r>
    <r>
      <rPr>
        <sz val="11"/>
        <color rgb="FF000000"/>
        <rFont val="Aptos Narrow"/>
      </rPr>
      <t>≥</t>
    </r>
    <r>
      <rPr>
        <sz val="11"/>
        <color rgb="FF000000"/>
        <rFont val="Calibri"/>
        <family val="2"/>
      </rPr>
      <t xml:space="preserve"> 90% of data fields have been completed by modality: hotline (O28), media (Q28), facility (S28), and community (U28).  Enter "0" if no events have ≥ 90% data fields complete.  The total number of events with≥ 90% completed data fields  will automatically fill.  Do not enter the total</t>
    </r>
  </si>
  <si>
    <t>Integers ≥ 0 (i.e. 0, 1,2,3,etc) and  O28≤ C7, Q28 ≤ E7, S28 ≤ G7, U28 ≤ I7</t>
  </si>
  <si>
    <t>Total number (W28) and percent (X28) of events with ≥90%  of data fields completed. Percent of events with ≥90% of data fields completed by modality:  hotline (P28), media (R28), facility (T28), and community (V28).</t>
  </si>
  <si>
    <t>This should ideally be near 100%, and this indicator can be used to identify issues with data collection for signals/events, and then using the more granular indicators above to determine what data are missing.</t>
  </si>
  <si>
    <t>Timeliness</t>
  </si>
  <si>
    <t>Total Confirmed Events</t>
  </si>
  <si>
    <t>Number of confirmed events by modality</t>
  </si>
  <si>
    <t>Automatically populated from process and completion worksheet.</t>
  </si>
  <si>
    <t>Integers ≥ 0 (i.e. 0, 1,2,3,etc) and B5 ≥ B6, D5  ≥ D6, F5 ≥ F6, H5  ≥ H6</t>
  </si>
  <si>
    <t>Used for calculations below</t>
  </si>
  <si>
    <t>NA</t>
  </si>
  <si>
    <t>Confirmed Events with Complete Dates</t>
  </si>
  <si>
    <t>Number of confirmed events by modality that have all of the following dates completed including month, day, year: event start date, detection date, reporting date, triage date, verification date, risk assessment date, alert date, response date.</t>
  </si>
  <si>
    <t>Provide the number of events with all dates completed by modality: hotline (B6), media (D6), facility (F6) and community (H6).  Enter "0" if no event have complete dates.  The total will automatically fill.  Do not enter the total.</t>
  </si>
  <si>
    <t>Integers ≥ 0 (i.e. 0, 1,2,3,etc) and  B6 ≤ B5, D6 ≤ D5, F6≤ F5, H6 ≤ H5</t>
  </si>
  <si>
    <t>Percent of event dates available for timeliness analysis by modality: hotline (C6), media (E6), facility (G6), community (I6), and total (J6).</t>
  </si>
  <si>
    <t>If percent by modality &lt;80% or the number of events is &lt;30 timeliness evaluation should not be undertaken due to limited data.</t>
  </si>
  <si>
    <t>Timely Event Detection</t>
  </si>
  <si>
    <t>Proportion of events detected within 7 days of event start (where detection date - event start date ≤ 7)</t>
  </si>
  <si>
    <t>Provide the percentage of those events where the detection date minus the event start date ≤ 7 days, by modality : Hotline (C8), media (E8), facility (G8),  community (I8). The total will automatically fill, do not enter the total.</t>
  </si>
  <si>
    <r>
      <t xml:space="preserve">Percentage (0-100%) </t>
    </r>
    <r>
      <rPr>
        <i/>
        <sz val="11"/>
        <color rgb="FF000000"/>
        <rFont val="Calibri"/>
        <family val="2"/>
      </rPr>
      <t>Note for modalities that have fewer than 30 confirmed events with complete dates or where the proportion with complete dates is &lt;80%, it is not recommended to rely on such low numbers, and the calculation tab will reflfect this with a warning color.</t>
    </r>
  </si>
  <si>
    <t>Percentage of events that have timely event detection (≤ 7 days after the event start date) by modality: Hotline (C8), media (E8), facility (G8),  community (I8) and total events (k8).</t>
  </si>
  <si>
    <t>Optimal timely detection capacity is 80% or more of events detected within 7 days of the start of event</t>
  </si>
  <si>
    <t>Timely Event Verification</t>
  </si>
  <si>
    <t>Proportion of events which were verified within 24 hours after detection (where verification date - detection date ≤ 1)</t>
  </si>
  <si>
    <t>Provide the percentage of those events where the verification date minus the detection date ≤ 24 hours, by modality : Hotline (C10), media (E10), facility (G10),  community (I10). The total will automatically fill, do not enter the total.</t>
  </si>
  <si>
    <t>Percentage of events that have timely event verification (≤ 24 hours after detection) by modality: Hotline (C10), media (E10), facility (G10),  community (I10) and total events (K10).</t>
  </si>
  <si>
    <t>Optimal timely detection capacity is 80% or more of events verified with 24 hours of detection</t>
  </si>
  <si>
    <t>Timely Event Risk Assessment</t>
  </si>
  <si>
    <t>Proportion of verified events for which the first risk assessment was conducted within 24 hours after verification (where risk assessment date - verification date ≤ 1)</t>
  </si>
  <si>
    <t>Provide the percentage of those events where the risk assessment date minus the verification date is less than or equal to 24 hours, by modality : Hotline (C12), media (E12), facility (G12),  community (I12). The total will automatically fill, do not enter the total.</t>
  </si>
  <si>
    <t>Percentage of events that have timely risk assessment after verification (≤ 24 hours after detection) by modality: Hotline (C12), media (E12), facility (G12),  community (I12) and total events (K12).</t>
  </si>
  <si>
    <t>Optimal timely detection capacity is 80% or more of events having a risk assessment with 24 hours of event verification</t>
  </si>
  <si>
    <t>Timely Event Notification/Alert</t>
  </si>
  <si>
    <t>Proportion of events which generated an alert within 24 hours after verification (where alert date - verification date ≤ 1). Note that notification here means the alert as we have defined it above and in other documents, 'notification' is used here as in other guidlelines this terminology is used.</t>
  </si>
  <si>
    <t>Provide the percentage of those events where the alert date minus the verification date ≤ 24 hours, by modality : Hotline (C14), media (E14), facility (G14),  community (I14). The total will automatically fill, do not enter the total.</t>
  </si>
  <si>
    <t>Percentage of events that generate a timely alert after verification (≤ 24 hours after detection) by modality: Hotline (C14), media (E14), facility (G14),  community (I14) and total events (K14).</t>
  </si>
  <si>
    <t>Optimal timely detection capacity is 80% or more of verified events having an alert generated with 24 hours of event verification</t>
  </si>
  <si>
    <t>Timely Initial Effective Response</t>
  </si>
  <si>
    <t>Proportion of events for which an initial effective response was completed within 7 days of notification/alert (where initial response completion date - alert date ≤ 7)</t>
  </si>
  <si>
    <t>Provide the percentage of those events where the initial response completion date date minus the alert date ≤ 7 days, by modality : Hotline (C16), media (E16), facility (G16),  community (I16). The total will automatically fill, do not enter the total.</t>
  </si>
  <si>
    <t>Percentage of events that have a timely effective response after alert is generated (≤ 7 days after alert) by modality: Hotline (C16), media (E16), facility (G16),  community (I16) and total events (K16).</t>
  </si>
  <si>
    <t>Optimal timely detection capacity is 80% or more of events having an initial response completed within 7 days after alert is generated</t>
  </si>
  <si>
    <t>Hotline</t>
  </si>
  <si>
    <t>Media Scan</t>
  </si>
  <si>
    <t>Facility</t>
  </si>
  <si>
    <t>Community</t>
  </si>
  <si>
    <t>Total</t>
  </si>
  <si>
    <t>#</t>
  </si>
  <si>
    <t>%</t>
  </si>
  <si>
    <t xml:space="preserve"> Signals reported with reported date present</t>
  </si>
  <si>
    <t>Sites Reporting</t>
  </si>
  <si>
    <t>Total Sites</t>
  </si>
  <si>
    <t>% Reporting</t>
  </si>
  <si>
    <t>Very High</t>
  </si>
  <si>
    <t>High</t>
  </si>
  <si>
    <t>Moderate</t>
  </si>
  <si>
    <t>Low</t>
  </si>
  <si>
    <t>Percent of events with  ≥ 90% of all fields complete</t>
  </si>
  <si>
    <t>Note: it is suggested that for data completeness, for each modality there needs to be at least 80% of events with complete date data in place AND there needs to be at least 30 events at a minimum. The calculations will highlight red if this is not met. These thresholds can be adjusted to the right of this box if needed.</t>
  </si>
  <si>
    <t>threshold for minimum number of events in each modality</t>
  </si>
  <si>
    <t>threshold for percentage of events needed to have complete date data in each modality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</si>
</sst>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b/>
      <sz val="12"/>
      <color theme="1"/>
      <name val="Calibri"/>
      <family val="2"/>
      <scheme val="minor"/>
    </font>
    <font>
      <sz val="11"/>
      <color rgb="FF000000"/>
      <name val="Calibri"/>
      <family val="2"/>
    </font>
    <font>
      <sz val="11"/>
      <color theme="1"/>
      <name val="Calibri"/>
      <family val="2"/>
      <scheme val="minor"/>
    </font>
    <font>
      <sz val="11"/>
      <color rgb="FFFF0000"/>
      <name val="Calibri"/>
      <family val="2"/>
      <scheme val="minor"/>
    </font>
    <font>
      <u/>
      <sz val="11"/>
      <color theme="10"/>
      <name val="Calibri"/>
      <family val="2"/>
      <scheme val="minor"/>
    </font>
    <font>
      <sz val="11"/>
      <name val="Calibri"/>
      <family val="2"/>
      <scheme val="minor"/>
    </font>
    <font>
      <sz val="11"/>
      <color theme="1"/>
      <name val="Calibri"/>
      <family val="2"/>
    </font>
    <font>
      <sz val="11"/>
      <color theme="1"/>
      <name val="Aptos Narrow"/>
      <family val="2"/>
    </font>
    <font>
      <strike/>
      <sz val="11"/>
      <color theme="1"/>
      <name val="Calibri"/>
      <family val="2"/>
      <scheme val="minor"/>
    </font>
    <font>
      <sz val="11"/>
      <color rgb="FF000000"/>
      <name val="Calibri"/>
      <family val="2"/>
      <scheme val="minor"/>
    </font>
    <font>
      <sz val="11"/>
      <color rgb="FF000000"/>
      <name val="Aptos Narrow"/>
    </font>
    <font>
      <sz val="11"/>
      <color rgb="FF000000"/>
      <name val="Calibri"/>
      <family val="2"/>
      <scheme val="minor"/>
    </font>
    <font>
      <sz val="11"/>
      <color rgb="FF000000"/>
      <name val="Calibri"/>
      <family val="2"/>
    </font>
    <font>
      <sz val="11"/>
      <name val="Aptos Narrow"/>
      <family val="2"/>
    </font>
    <font>
      <sz val="11"/>
      <name val="Calibri"/>
      <family val="2"/>
    </font>
    <font>
      <sz val="11"/>
      <color theme="1"/>
      <name val="Calibri"/>
      <family val="2"/>
    </font>
    <font>
      <b/>
      <i/>
      <sz val="11"/>
      <color theme="1"/>
      <name val="Calibri"/>
      <family val="2"/>
      <scheme val="minor"/>
    </font>
    <font>
      <b/>
      <sz val="11"/>
      <color theme="1"/>
      <name val="Calibri"/>
      <family val="2"/>
      <scheme val="minor"/>
    </font>
    <font>
      <i/>
      <sz val="11"/>
      <color rgb="FF000000"/>
      <name val="Calibri"/>
      <family val="2"/>
    </font>
    <font>
      <sz val="11"/>
      <color rgb="FF242424"/>
      <name val="Calibri"/>
      <family val="2"/>
      <scheme val="minor"/>
    </font>
    <font>
      <b/>
      <sz val="11"/>
      <color theme="0"/>
      <name val="Calibri"/>
      <family val="2"/>
      <scheme val="minor"/>
    </font>
    <font>
      <sz val="11"/>
      <color theme="0"/>
      <name val="Calibri"/>
      <family val="2"/>
      <scheme val="minor"/>
    </font>
    <font>
      <sz val="11"/>
      <color theme="0"/>
      <name val="Calibri"/>
      <family val="2"/>
    </font>
  </fonts>
  <fills count="16">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DAE1F2"/>
        <bgColor indexed="64"/>
      </patternFill>
    </fill>
    <fill>
      <patternFill patternType="solid">
        <fgColor rgb="FFD9E1F2"/>
        <bgColor indexed="64"/>
      </patternFill>
    </fill>
    <fill>
      <patternFill patternType="solid">
        <fgColor rgb="FFA6003E"/>
        <bgColor indexed="64"/>
      </patternFill>
    </fill>
    <fill>
      <patternFill patternType="solid">
        <fgColor rgb="FFE3ED03"/>
        <bgColor indexed="64"/>
      </patternFill>
    </fill>
    <fill>
      <patternFill patternType="solid">
        <fgColor rgb="FF005E5D"/>
        <bgColor indexed="64"/>
      </patternFill>
    </fill>
    <fill>
      <patternFill patternType="solid">
        <fgColor rgb="FF5600A1"/>
        <bgColor indexed="64"/>
      </patternFill>
    </fill>
    <fill>
      <patternFill patternType="solid">
        <fgColor rgb="FFFF393A"/>
        <bgColor indexed="64"/>
      </patternFill>
    </fill>
    <fill>
      <patternFill patternType="solid">
        <fgColor rgb="FF04A266"/>
        <bgColor indexed="64"/>
      </patternFill>
    </fill>
    <fill>
      <patternFill patternType="solid">
        <fgColor rgb="FF54D3FE"/>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bottom style="thin">
        <color rgb="FF000000"/>
      </bottom>
      <diagonal/>
    </border>
    <border>
      <left style="thin">
        <color indexed="64"/>
      </left>
      <right/>
      <top style="thin">
        <color rgb="FF000000"/>
      </top>
      <bottom style="double">
        <color rgb="FF000000"/>
      </bottom>
      <diagonal/>
    </border>
    <border>
      <left style="thin">
        <color rgb="FF000000"/>
      </left>
      <right/>
      <top style="thin">
        <color rgb="FF000000"/>
      </top>
      <bottom style="double">
        <color rgb="FF000000"/>
      </bottom>
      <diagonal/>
    </border>
    <border>
      <left style="thin">
        <color rgb="FF000000"/>
      </left>
      <right/>
      <top style="double">
        <color rgb="FF000000"/>
      </top>
      <bottom style="thin">
        <color rgb="FF000000"/>
      </bottom>
      <diagonal/>
    </border>
    <border>
      <left style="thin">
        <color indexed="64"/>
      </left>
      <right/>
      <top style="thin">
        <color indexed="64"/>
      </top>
      <bottom style="thin">
        <color rgb="FF000000"/>
      </bottom>
      <diagonal/>
    </border>
    <border>
      <left style="thin">
        <color rgb="FF000000"/>
      </left>
      <right style="thin">
        <color rgb="FF000000"/>
      </right>
      <top style="thin">
        <color rgb="FF000000"/>
      </top>
      <bottom style="thin">
        <color indexed="64"/>
      </bottom>
      <diagonal/>
    </border>
    <border>
      <left style="thin">
        <color rgb="FF000000"/>
      </left>
      <right style="thin">
        <color rgb="FF000000"/>
      </right>
      <top style="thin">
        <color indexed="64"/>
      </top>
      <bottom/>
      <diagonal/>
    </border>
    <border>
      <left style="thin">
        <color rgb="FF000000"/>
      </left>
      <right style="thin">
        <color rgb="FF000000"/>
      </right>
      <top style="thin">
        <color rgb="FF000000"/>
      </top>
      <bottom style="double">
        <color rgb="FF000000"/>
      </bottom>
      <diagonal/>
    </border>
  </borders>
  <cellStyleXfs count="3">
    <xf numFmtId="0" fontId="0" fillId="0" borderId="0"/>
    <xf numFmtId="9" fontId="4" fillId="0" borderId="0" applyFont="0" applyFill="0" applyBorder="0" applyAlignment="0" applyProtection="0"/>
    <xf numFmtId="0" fontId="6" fillId="0" borderId="0" applyNumberFormat="0" applyFill="0" applyBorder="0" applyAlignment="0" applyProtection="0"/>
  </cellStyleXfs>
  <cellXfs count="133">
    <xf numFmtId="0" fontId="0" fillId="0" borderId="0" xfId="0"/>
    <xf numFmtId="0" fontId="2" fillId="0" borderId="0" xfId="0" applyFont="1"/>
    <xf numFmtId="0" fontId="0" fillId="0" borderId="1" xfId="0" applyBorder="1" applyAlignment="1">
      <alignment horizontal="right"/>
    </xf>
    <xf numFmtId="0" fontId="0" fillId="0" borderId="1" xfId="0" applyBorder="1" applyAlignment="1">
      <alignment horizontal="left"/>
    </xf>
    <xf numFmtId="9" fontId="0" fillId="2" borderId="1" xfId="0" applyNumberFormat="1" applyFill="1" applyBorder="1" applyAlignment="1">
      <alignment horizontal="left"/>
    </xf>
    <xf numFmtId="9" fontId="0" fillId="3" borderId="1" xfId="0" applyNumberFormat="1" applyFill="1" applyBorder="1" applyAlignment="1">
      <alignment horizontal="left"/>
    </xf>
    <xf numFmtId="0" fontId="0" fillId="0" borderId="0" xfId="0" applyAlignment="1">
      <alignment horizontal="left"/>
    </xf>
    <xf numFmtId="0" fontId="7" fillId="6" borderId="1" xfId="0" applyFont="1" applyFill="1" applyBorder="1"/>
    <xf numFmtId="0" fontId="0" fillId="6" borderId="1" xfId="0" applyFill="1" applyBorder="1"/>
    <xf numFmtId="0" fontId="0" fillId="6" borderId="1" xfId="0" applyFill="1" applyBorder="1" applyAlignment="1">
      <alignment horizontal="right"/>
    </xf>
    <xf numFmtId="1" fontId="0" fillId="6" borderId="1" xfId="0" applyNumberFormat="1" applyFill="1" applyBorder="1" applyAlignment="1">
      <alignment horizontal="right"/>
    </xf>
    <xf numFmtId="0" fontId="5" fillId="0" borderId="0" xfId="0" applyFont="1"/>
    <xf numFmtId="0" fontId="0" fillId="4" borderId="0" xfId="0" applyFill="1" applyAlignment="1">
      <alignment horizontal="right"/>
    </xf>
    <xf numFmtId="9" fontId="0" fillId="4" borderId="0" xfId="0" applyNumberFormat="1" applyFill="1"/>
    <xf numFmtId="0" fontId="0" fillId="4" borderId="0" xfId="0" applyFill="1"/>
    <xf numFmtId="0" fontId="10" fillId="0" borderId="0" xfId="0" applyFont="1"/>
    <xf numFmtId="0" fontId="0" fillId="0" borderId="0" xfId="0" applyAlignment="1">
      <alignment horizontal="left" vertical="top"/>
    </xf>
    <xf numFmtId="0" fontId="6" fillId="0" borderId="0" xfId="2" applyBorder="1" applyAlignment="1">
      <alignment horizontal="right"/>
    </xf>
    <xf numFmtId="9" fontId="0" fillId="5" borderId="1" xfId="0" applyNumberFormat="1" applyFill="1" applyBorder="1" applyAlignment="1">
      <alignment horizontal="left"/>
    </xf>
    <xf numFmtId="0" fontId="6" fillId="0" borderId="0" xfId="2" applyFill="1" applyBorder="1" applyAlignment="1">
      <alignment horizontal="left" vertical="top"/>
    </xf>
    <xf numFmtId="0" fontId="6" fillId="0" borderId="0" xfId="2" applyAlignment="1">
      <alignment horizontal="left"/>
    </xf>
    <xf numFmtId="0" fontId="6" fillId="0" borderId="0" xfId="2" applyFill="1" applyAlignment="1">
      <alignment horizontal="left"/>
    </xf>
    <xf numFmtId="0" fontId="6" fillId="0" borderId="0" xfId="2"/>
    <xf numFmtId="0" fontId="6" fillId="0" borderId="1" xfId="2" applyBorder="1" applyAlignment="1">
      <alignment wrapText="1"/>
    </xf>
    <xf numFmtId="9" fontId="0" fillId="0" borderId="1" xfId="0" applyNumberFormat="1" applyBorder="1"/>
    <xf numFmtId="9" fontId="0" fillId="0" borderId="1" xfId="1" applyFont="1" applyBorder="1"/>
    <xf numFmtId="0" fontId="1" fillId="2" borderId="2" xfId="0" applyFont="1" applyFill="1" applyBorder="1" applyAlignment="1">
      <alignment vertical="top"/>
    </xf>
    <xf numFmtId="0" fontId="1" fillId="2" borderId="4" xfId="0" applyFont="1" applyFill="1" applyBorder="1" applyAlignment="1">
      <alignment vertical="top"/>
    </xf>
    <xf numFmtId="0" fontId="1" fillId="2" borderId="10" xfId="0" applyFont="1" applyFill="1" applyBorder="1" applyAlignment="1">
      <alignment vertical="top"/>
    </xf>
    <xf numFmtId="9" fontId="0" fillId="2" borderId="7" xfId="0" applyNumberFormat="1" applyFill="1" applyBorder="1" applyAlignment="1">
      <alignment horizontal="left"/>
    </xf>
    <xf numFmtId="0" fontId="1" fillId="0" borderId="9" xfId="0" applyFont="1" applyBorder="1" applyAlignment="1">
      <alignment horizontal="left" vertical="top"/>
    </xf>
    <xf numFmtId="9" fontId="0" fillId="0" borderId="0" xfId="0" applyNumberFormat="1"/>
    <xf numFmtId="0" fontId="1" fillId="0" borderId="1" xfId="0" applyFont="1" applyBorder="1" applyAlignment="1">
      <alignment horizontal="center"/>
    </xf>
    <xf numFmtId="0" fontId="1" fillId="2" borderId="1" xfId="0" applyFont="1" applyFill="1" applyBorder="1" applyAlignment="1">
      <alignment horizontal="left" vertical="top"/>
    </xf>
    <xf numFmtId="0" fontId="6" fillId="0" borderId="1" xfId="2" applyBorder="1" applyAlignment="1">
      <alignment horizontal="right" wrapText="1"/>
    </xf>
    <xf numFmtId="0" fontId="1" fillId="0" borderId="2" xfId="0" applyFont="1" applyBorder="1" applyAlignment="1">
      <alignment horizontal="center"/>
    </xf>
    <xf numFmtId="0" fontId="0" fillId="0" borderId="9" xfId="0" applyBorder="1" applyAlignment="1">
      <alignment horizontal="center" vertical="center"/>
    </xf>
    <xf numFmtId="9" fontId="0" fillId="0" borderId="12" xfId="0" applyNumberFormat="1" applyBorder="1" applyAlignment="1">
      <alignment horizontal="center" vertical="center"/>
    </xf>
    <xf numFmtId="1" fontId="0" fillId="4" borderId="16" xfId="0" applyNumberFormat="1" applyFill="1" applyBorder="1" applyAlignment="1">
      <alignment horizontal="center" vertical="center"/>
    </xf>
    <xf numFmtId="1" fontId="0" fillId="4" borderId="14" xfId="0" applyNumberFormat="1" applyFill="1" applyBorder="1" applyAlignment="1">
      <alignment horizontal="center" vertical="center"/>
    </xf>
    <xf numFmtId="9" fontId="0" fillId="0" borderId="15" xfId="0" applyNumberFormat="1" applyBorder="1" applyAlignment="1">
      <alignment horizontal="center" vertical="center"/>
    </xf>
    <xf numFmtId="1" fontId="0" fillId="0" borderId="11" xfId="0" applyNumberFormat="1" applyBorder="1" applyAlignment="1">
      <alignment horizontal="center" vertical="center"/>
    </xf>
    <xf numFmtId="1" fontId="0" fillId="0" borderId="13" xfId="0" applyNumberFormat="1" applyBorder="1" applyAlignment="1">
      <alignment horizontal="center" vertical="center"/>
    </xf>
    <xf numFmtId="0" fontId="1" fillId="0" borderId="17" xfId="0" applyFont="1" applyBorder="1" applyAlignment="1">
      <alignment horizontal="center"/>
    </xf>
    <xf numFmtId="1" fontId="0" fillId="0" borderId="18" xfId="0" applyNumberFormat="1" applyBorder="1" applyAlignment="1">
      <alignment horizontal="center" vertical="center"/>
    </xf>
    <xf numFmtId="1" fontId="0" fillId="0" borderId="19" xfId="0" applyNumberFormat="1" applyBorder="1" applyAlignment="1">
      <alignment horizontal="center" vertical="center"/>
    </xf>
    <xf numFmtId="0" fontId="18" fillId="0" borderId="0" xfId="0" applyFont="1" applyAlignment="1">
      <alignment wrapText="1"/>
    </xf>
    <xf numFmtId="0" fontId="0" fillId="0" borderId="0" xfId="0" applyAlignment="1">
      <alignment wrapText="1"/>
    </xf>
    <xf numFmtId="0" fontId="0" fillId="0" borderId="0" xfId="0" applyAlignment="1">
      <alignment horizontal="left" vertical="top" wrapText="1"/>
    </xf>
    <xf numFmtId="0" fontId="0" fillId="7" borderId="0" xfId="0" applyFill="1" applyAlignment="1">
      <alignment horizontal="left" vertical="top" wrapText="1"/>
    </xf>
    <xf numFmtId="0" fontId="3" fillId="7" borderId="0" xfId="0" applyFont="1" applyFill="1" applyAlignment="1">
      <alignment horizontal="left" vertical="top" wrapText="1"/>
    </xf>
    <xf numFmtId="0" fontId="3" fillId="0" borderId="0" xfId="0" applyFont="1" applyAlignment="1">
      <alignment horizontal="left" vertical="top" wrapText="1"/>
    </xf>
    <xf numFmtId="0" fontId="7" fillId="0" borderId="0" xfId="0" applyFont="1" applyAlignment="1">
      <alignment horizontal="left" vertical="top" wrapText="1"/>
    </xf>
    <xf numFmtId="0" fontId="13" fillId="0" borderId="0" xfId="0" applyFont="1" applyAlignment="1">
      <alignment horizontal="left" vertical="top"/>
    </xf>
    <xf numFmtId="0" fontId="14" fillId="0" borderId="0" xfId="0" applyFont="1" applyAlignment="1">
      <alignment horizontal="left" vertical="top" wrapText="1"/>
    </xf>
    <xf numFmtId="0" fontId="17"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wrapText="1"/>
    </xf>
    <xf numFmtId="0" fontId="6" fillId="3" borderId="7" xfId="2" applyFill="1" applyBorder="1" applyAlignment="1">
      <alignment horizontal="center" vertical="center" wrapText="1"/>
    </xf>
    <xf numFmtId="0" fontId="14" fillId="7"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left" vertical="top"/>
    </xf>
    <xf numFmtId="0" fontId="0" fillId="8" borderId="0" xfId="0" applyFill="1" applyAlignment="1">
      <alignment horizontal="left" vertical="top" wrapText="1"/>
    </xf>
    <xf numFmtId="0" fontId="21" fillId="8" borderId="0" xfId="0" applyFont="1" applyFill="1" applyAlignment="1">
      <alignment horizontal="left" vertical="top" wrapText="1"/>
    </xf>
    <xf numFmtId="0" fontId="11" fillId="8" borderId="0" xfId="0" applyFont="1" applyFill="1" applyAlignment="1">
      <alignment horizontal="left" vertical="top" wrapText="1"/>
    </xf>
    <xf numFmtId="0" fontId="0" fillId="0" borderId="0" xfId="0" applyAlignment="1">
      <alignment horizontal="center"/>
    </xf>
    <xf numFmtId="0" fontId="1" fillId="0" borderId="1" xfId="0" applyFont="1" applyBorder="1" applyAlignment="1">
      <alignment horizontal="center"/>
    </xf>
    <xf numFmtId="0" fontId="1" fillId="2" borderId="1" xfId="0" applyFont="1" applyFill="1" applyBorder="1" applyAlignment="1">
      <alignment horizontal="left" vertical="top"/>
    </xf>
    <xf numFmtId="0" fontId="6" fillId="0" borderId="1" xfId="2" applyBorder="1" applyAlignment="1">
      <alignment horizontal="right" wrapText="1"/>
    </xf>
    <xf numFmtId="9" fontId="0" fillId="3" borderId="7" xfId="0" applyNumberFormat="1" applyFill="1" applyBorder="1" applyAlignment="1">
      <alignment horizontal="center"/>
    </xf>
    <xf numFmtId="9" fontId="0" fillId="3" borderId="5" xfId="0" applyNumberFormat="1" applyFill="1" applyBorder="1" applyAlignment="1">
      <alignment horizontal="center"/>
    </xf>
    <xf numFmtId="9" fontId="0" fillId="3" borderId="6" xfId="0" applyNumberFormat="1" applyFill="1" applyBorder="1" applyAlignment="1">
      <alignment horizontal="center"/>
    </xf>
    <xf numFmtId="9" fontId="0" fillId="3" borderId="8" xfId="0" applyNumberFormat="1" applyFill="1" applyBorder="1" applyAlignment="1">
      <alignment horizontal="center"/>
    </xf>
    <xf numFmtId="0" fontId="6" fillId="3" borderId="1" xfId="2" applyFill="1" applyBorder="1" applyAlignment="1">
      <alignment horizontal="right"/>
    </xf>
    <xf numFmtId="0" fontId="6" fillId="3" borderId="1" xfId="2" applyFill="1" applyBorder="1" applyAlignment="1">
      <alignment horizontal="center" vertical="center" wrapText="1"/>
    </xf>
    <xf numFmtId="0" fontId="0" fillId="3" borderId="7"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8" xfId="0" applyFill="1" applyBorder="1" applyAlignment="1">
      <alignment horizontal="center"/>
    </xf>
    <xf numFmtId="0" fontId="0" fillId="6" borderId="7" xfId="0" applyFill="1" applyBorder="1" applyAlignment="1">
      <alignment horizontal="center"/>
    </xf>
    <xf numFmtId="0" fontId="0" fillId="6" borderId="5" xfId="0" applyFill="1" applyBorder="1" applyAlignment="1">
      <alignment horizontal="center"/>
    </xf>
    <xf numFmtId="0" fontId="0" fillId="6" borderId="8" xfId="0" applyFill="1" applyBorder="1" applyAlignment="1">
      <alignment horizontal="center"/>
    </xf>
    <xf numFmtId="0" fontId="0" fillId="6" borderId="6" xfId="0" applyFill="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8" fillId="0" borderId="0" xfId="0" applyFont="1" applyAlignment="1">
      <alignment horizontal="center" wrapText="1"/>
    </xf>
    <xf numFmtId="0" fontId="23" fillId="0" borderId="9" xfId="0" applyFont="1" applyBorder="1" applyAlignment="1">
      <alignment horizontal="right"/>
    </xf>
    <xf numFmtId="9" fontId="23" fillId="0" borderId="9" xfId="0" applyNumberFormat="1" applyFont="1" applyBorder="1" applyAlignment="1">
      <alignment horizontal="left"/>
    </xf>
    <xf numFmtId="0" fontId="23" fillId="0" borderId="9" xfId="0" applyFont="1" applyBorder="1"/>
    <xf numFmtId="0" fontId="23" fillId="11" borderId="9" xfId="0" applyFont="1" applyFill="1" applyBorder="1" applyAlignment="1">
      <alignment horizontal="right" vertical="top"/>
    </xf>
    <xf numFmtId="0" fontId="23" fillId="11" borderId="9" xfId="0" applyFont="1" applyFill="1" applyBorder="1" applyAlignment="1">
      <alignment horizontal="right"/>
    </xf>
    <xf numFmtId="0" fontId="23" fillId="11" borderId="9" xfId="0" applyFont="1" applyFill="1" applyBorder="1"/>
    <xf numFmtId="1" fontId="23" fillId="0" borderId="9" xfId="0" applyNumberFormat="1" applyFont="1" applyBorder="1" applyAlignment="1">
      <alignment horizontal="right"/>
    </xf>
    <xf numFmtId="1" fontId="23" fillId="11" borderId="9" xfId="0" applyNumberFormat="1" applyFont="1" applyFill="1" applyBorder="1" applyAlignment="1">
      <alignment horizontal="right"/>
    </xf>
    <xf numFmtId="0" fontId="0" fillId="10" borderId="9" xfId="0" applyFont="1" applyFill="1" applyBorder="1" applyAlignment="1">
      <alignment horizontal="right" vertical="top"/>
    </xf>
    <xf numFmtId="0" fontId="0" fillId="0" borderId="9" xfId="0" applyFont="1" applyBorder="1" applyAlignment="1">
      <alignment horizontal="right" vertical="top"/>
    </xf>
    <xf numFmtId="9" fontId="0" fillId="5" borderId="9" xfId="0" applyNumberFormat="1" applyFont="1" applyFill="1" applyBorder="1" applyAlignment="1">
      <alignment horizontal="left" vertical="top"/>
    </xf>
    <xf numFmtId="9" fontId="0" fillId="0" borderId="9" xfId="0" applyNumberFormat="1" applyFont="1" applyBorder="1" applyAlignment="1">
      <alignment horizontal="left"/>
    </xf>
    <xf numFmtId="0" fontId="0" fillId="0" borderId="9" xfId="0" applyFont="1" applyBorder="1" applyAlignment="1">
      <alignment horizontal="right"/>
    </xf>
    <xf numFmtId="9" fontId="0" fillId="5" borderId="9" xfId="0" applyNumberFormat="1" applyFont="1" applyFill="1" applyBorder="1" applyAlignment="1">
      <alignment horizontal="left"/>
    </xf>
    <xf numFmtId="0" fontId="0" fillId="10" borderId="9" xfId="0" applyFont="1" applyFill="1" applyBorder="1" applyAlignment="1">
      <alignment horizontal="right"/>
    </xf>
    <xf numFmtId="0" fontId="0" fillId="0" borderId="9" xfId="0" applyFont="1" applyBorder="1"/>
    <xf numFmtId="0" fontId="24" fillId="12" borderId="9" xfId="0" applyFont="1" applyFill="1" applyBorder="1" applyAlignment="1">
      <alignment horizontal="right"/>
    </xf>
    <xf numFmtId="9" fontId="24" fillId="12" borderId="9" xfId="0" applyNumberFormat="1" applyFont="1" applyFill="1" applyBorder="1" applyAlignment="1">
      <alignment horizontal="left"/>
    </xf>
    <xf numFmtId="0" fontId="24" fillId="12" borderId="9" xfId="0" applyFont="1" applyFill="1" applyBorder="1"/>
    <xf numFmtId="0" fontId="22" fillId="9" borderId="1" xfId="0" applyFont="1" applyFill="1" applyBorder="1" applyAlignment="1">
      <alignment horizontal="center"/>
    </xf>
    <xf numFmtId="0" fontId="22" fillId="13" borderId="1" xfId="0" applyFont="1" applyFill="1" applyBorder="1" applyAlignment="1">
      <alignment horizontal="center"/>
    </xf>
    <xf numFmtId="0" fontId="1" fillId="10" borderId="1" xfId="0" applyFont="1" applyFill="1" applyBorder="1" applyAlignment="1">
      <alignment horizontal="center"/>
    </xf>
    <xf numFmtId="0" fontId="22" fillId="14" borderId="1" xfId="0" applyFont="1" applyFill="1" applyBorder="1" applyAlignment="1">
      <alignment horizontal="center"/>
    </xf>
    <xf numFmtId="0" fontId="0" fillId="15" borderId="1" xfId="0" applyFill="1" applyBorder="1"/>
    <xf numFmtId="0" fontId="0" fillId="15" borderId="1" xfId="0" applyFill="1" applyBorder="1" applyAlignment="1">
      <alignment horizontal="right"/>
    </xf>
    <xf numFmtId="1" fontId="0" fillId="15" borderId="1" xfId="0" applyNumberFormat="1" applyFill="1" applyBorder="1" applyAlignment="1">
      <alignment horizontal="right"/>
    </xf>
    <xf numFmtId="0" fontId="0" fillId="15" borderId="7" xfId="0" applyFill="1" applyBorder="1" applyAlignment="1">
      <alignment horizontal="center"/>
    </xf>
    <xf numFmtId="0" fontId="0" fillId="15" borderId="5" xfId="0" applyFill="1" applyBorder="1" applyAlignment="1">
      <alignment horizontal="center"/>
    </xf>
    <xf numFmtId="0" fontId="0" fillId="15" borderId="6" xfId="0" applyFill="1" applyBorder="1" applyAlignment="1">
      <alignment horizontal="center"/>
    </xf>
    <xf numFmtId="0" fontId="0" fillId="15" borderId="8" xfId="0" applyFill="1" applyBorder="1" applyAlignment="1">
      <alignment horizontal="center"/>
    </xf>
    <xf numFmtId="0" fontId="2" fillId="15" borderId="1" xfId="0" applyFont="1" applyFill="1" applyBorder="1"/>
    <xf numFmtId="0" fontId="0" fillId="0" borderId="1" xfId="0" applyBorder="1"/>
    <xf numFmtId="0" fontId="0" fillId="14" borderId="0" xfId="0" applyFill="1" applyAlignment="1">
      <alignment horizontal="center" vertical="center"/>
    </xf>
    <xf numFmtId="0" fontId="0" fillId="11" borderId="0" xfId="0" applyFill="1" applyAlignment="1">
      <alignment horizontal="center" vertical="center"/>
    </xf>
    <xf numFmtId="0" fontId="19" fillId="11" borderId="0" xfId="0" applyFont="1" applyFill="1"/>
    <xf numFmtId="0" fontId="1" fillId="11" borderId="0" xfId="0" applyFont="1" applyFill="1" applyAlignment="1">
      <alignment wrapText="1"/>
    </xf>
    <xf numFmtId="0" fontId="1" fillId="11" borderId="0" xfId="0" applyFont="1" applyFill="1"/>
    <xf numFmtId="0" fontId="0" fillId="15" borderId="0" xfId="0" applyFill="1" applyAlignment="1">
      <alignment horizontal="center" vertical="center"/>
    </xf>
    <xf numFmtId="0" fontId="0" fillId="15" borderId="0" xfId="0" applyFill="1" applyAlignment="1">
      <alignment horizontal="center" vertical="center" wrapText="1"/>
    </xf>
    <xf numFmtId="0" fontId="0" fillId="15" borderId="0" xfId="0" applyFill="1" applyAlignment="1">
      <alignment horizontal="left" vertical="top" wrapText="1"/>
    </xf>
    <xf numFmtId="0" fontId="14" fillId="15" borderId="0" xfId="0" applyFont="1" applyFill="1" applyAlignment="1">
      <alignment horizontal="left" vertical="top" wrapText="1"/>
    </xf>
    <xf numFmtId="0" fontId="3" fillId="15" borderId="0" xfId="0" applyFont="1" applyFill="1" applyAlignment="1">
      <alignment horizontal="left" vertical="top" wrapText="1"/>
    </xf>
    <xf numFmtId="0" fontId="8" fillId="15" borderId="0" xfId="0" applyFont="1" applyFill="1" applyAlignment="1">
      <alignment horizontal="left" vertical="top" wrapText="1"/>
    </xf>
    <xf numFmtId="0" fontId="7" fillId="15" borderId="0" xfId="0" applyFont="1" applyFill="1" applyAlignment="1">
      <alignment horizontal="left" vertical="top" wrapText="1"/>
    </xf>
    <xf numFmtId="0" fontId="0" fillId="15" borderId="0" xfId="0" applyFill="1" applyAlignment="1">
      <alignment horizontal="left" vertical="top"/>
    </xf>
    <xf numFmtId="0" fontId="3" fillId="15" borderId="0" xfId="0" applyFont="1" applyFill="1" applyAlignment="1">
      <alignment horizontal="center" vertical="center" wrapText="1"/>
    </xf>
    <xf numFmtId="0" fontId="17" fillId="15" borderId="0" xfId="0" applyFont="1" applyFill="1" applyAlignment="1">
      <alignment horizontal="left" vertical="top" wrapText="1"/>
    </xf>
  </cellXfs>
  <cellStyles count="3">
    <cellStyle name="Hyperlink" xfId="2" builtinId="8"/>
    <cellStyle name="Normal" xfId="0" builtinId="0"/>
    <cellStyle name="Percent" xfId="1" builtinId="5"/>
  </cellStyles>
  <dxfs count="19">
    <dxf>
      <font>
        <b/>
        <i val="0"/>
        <strike val="0"/>
        <condense val="0"/>
        <extend val="0"/>
        <outline val="0"/>
        <shadow val="0"/>
        <u val="none"/>
        <vertAlign val="baseline"/>
        <sz val="11"/>
        <color theme="1"/>
        <name val="Calibri"/>
        <family val="2"/>
        <scheme val="minor"/>
      </font>
      <fill>
        <patternFill>
          <fgColor indexed="64"/>
          <bgColor rgb="FF005E5D"/>
        </patternFill>
      </fill>
    </dxf>
    <dxf>
      <font>
        <color rgb="FF808080"/>
      </font>
      <fill>
        <patternFill patternType="solid">
          <bgColor rgb="FFC00001"/>
        </patternFill>
      </fill>
    </dxf>
    <dxf>
      <font>
        <color rgb="FF808080"/>
      </font>
      <fill>
        <patternFill patternType="solid">
          <bgColor rgb="FFC00001"/>
        </patternFill>
      </fill>
    </dxf>
    <dxf>
      <font>
        <color theme="1" tint="0.499984740745262"/>
      </font>
      <fill>
        <patternFill patternType="solid">
          <bgColor rgb="FFC00001"/>
        </patternFill>
      </fill>
    </dxf>
    <dxf>
      <font>
        <color theme="1" tint="0.499984740745262"/>
      </font>
      <fill>
        <patternFill patternType="solid">
          <bgColor rgb="FFC00001"/>
        </patternFill>
      </fill>
    </dxf>
    <dxf>
      <font>
        <color rgb="FF808080"/>
      </font>
      <fill>
        <patternFill patternType="solid">
          <bgColor rgb="FFC00001"/>
        </patternFill>
      </fill>
    </dxf>
    <dxf>
      <font>
        <color rgb="FF808080"/>
      </font>
      <fill>
        <patternFill patternType="solid">
          <bgColor rgb="FFC00001"/>
        </patternFill>
      </fill>
    </dxf>
    <dxf>
      <font>
        <color rgb="FF808080"/>
      </font>
      <fill>
        <patternFill patternType="solid">
          <bgColor rgb="FFC00001"/>
        </patternFill>
      </fill>
    </dxf>
    <dxf>
      <font>
        <color theme="1" tint="0.499984740745262"/>
      </font>
      <fill>
        <patternFill patternType="solid">
          <bgColor rgb="FFC00001"/>
        </patternFill>
      </fill>
    </dxf>
    <dxf>
      <font>
        <color theme="1" tint="0.499984740745262"/>
      </font>
      <fill>
        <patternFill patternType="solid">
          <bgColor rgb="FFC00001"/>
        </patternFill>
      </fill>
    </dxf>
    <dxf>
      <font>
        <color rgb="FF808080"/>
      </font>
      <fill>
        <patternFill patternType="solid">
          <bgColor rgb="FFC00001"/>
        </patternFill>
      </fill>
    </dxf>
    <dxf>
      <fill>
        <patternFill patternType="solid">
          <fgColor indexed="64"/>
          <bgColor theme="0"/>
        </patternFill>
      </fill>
      <alignment horizontal="left" vertical="top" textRotation="0" wrapText="1" indent="0" justifyLastLine="0" shrinkToFit="0" readingOrder="0"/>
    </dxf>
    <dxf>
      <fill>
        <patternFill patternType="solid">
          <fgColor indexed="64"/>
          <bgColor theme="0"/>
        </patternFill>
      </fill>
      <alignment horizontal="left" vertical="top" textRotation="0" wrapText="1" indent="0" justifyLastLine="0" shrinkToFit="0" readingOrder="0"/>
    </dxf>
    <dxf>
      <font>
        <b val="0"/>
        <i val="0"/>
        <strike val="0"/>
        <condense val="0"/>
        <extend val="0"/>
        <outline val="0"/>
        <shadow val="0"/>
        <u val="none"/>
        <vertAlign val="baseline"/>
        <sz val="11"/>
        <color rgb="FF000000"/>
        <name val="Calibri"/>
        <scheme val="none"/>
      </font>
      <fill>
        <patternFill patternType="solid">
          <fgColor indexed="64"/>
          <bgColor theme="0"/>
        </patternFill>
      </fill>
      <alignment horizontal="left" vertical="top" textRotation="0" wrapText="1" indent="0" justifyLastLine="0" shrinkToFit="0" readingOrder="0"/>
    </dxf>
    <dxf>
      <font>
        <b val="0"/>
        <i val="0"/>
        <strike val="0"/>
        <condense val="0"/>
        <extend val="0"/>
        <outline val="0"/>
        <shadow val="0"/>
        <u val="none"/>
        <vertAlign val="baseline"/>
        <sz val="11"/>
        <color rgb="FF000000"/>
        <name val="Calibri"/>
        <scheme val="none"/>
      </font>
      <alignment horizontal="left" vertical="top" textRotation="0" wrapText="1" indent="0" justifyLastLine="0" shrinkToFit="0" readingOrder="0"/>
    </dxf>
    <dxf>
      <alignment horizontal="left" vertical="top" textRotation="0" wrapText="1" indent="0" justifyLastLine="0" shrinkToFit="0" readingOrder="0"/>
    </dxf>
    <dxf>
      <alignment horizontal="center" vertical="center" textRotation="0" wrapText="1" indent="0" justifyLastLine="0" shrinkToFit="0" readingOrder="0"/>
    </dxf>
    <dxf>
      <fill>
        <patternFill patternType="none">
          <fgColor indexed="64"/>
          <bgColor auto="1"/>
        </patternFill>
      </fill>
      <alignment horizontal="center" vertical="center"/>
    </dxf>
    <dxf>
      <fill>
        <patternFill patternType="none">
          <fgColor indexed="64"/>
          <bgColor auto="1"/>
        </patternFill>
      </fill>
      <alignment horizontal="center" vertical="center"/>
    </dxf>
  </dxfs>
  <tableStyles count="0" defaultTableStyle="TableStyleMedium2" defaultPivotStyle="PivotStyleMedium9"/>
  <colors>
    <mruColors>
      <color rgb="FF04A266"/>
      <color rgb="FF54D3FE"/>
      <color rgb="FF005E5D"/>
      <color rgb="FFE3ED03"/>
      <color rgb="FFFF393A"/>
      <color rgb="FFA6003E"/>
      <color rgb="FF5600A1"/>
      <color rgb="FFDAE1F2"/>
      <color rgb="FFD9E1F2"/>
      <color rgb="FFB4C6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76AFA7E-D8D9-4E2A-B792-079C8E3A5E91}" name="Table1" displayName="Table1" ref="A1:H29" totalsRowShown="0" headerRowDxfId="0">
  <autoFilter ref="A1:H29" xr:uid="{276AFA7E-D8D9-4E2A-B792-079C8E3A5E91}"/>
  <tableColumns count="8">
    <tableColumn id="1" xr3:uid="{D51A5F63-32DA-49BC-85E8-26779CAC7570}" name="Analysis Type" dataDxfId="18"/>
    <tableColumn id="2" xr3:uid="{177482EC-6F60-4827-A2DF-FE0E0AB13C7A}" name="Order" dataDxfId="17"/>
    <tableColumn id="3" xr3:uid="{F41DE13E-6905-49F2-846E-B2BB402CCFA4}" name="Element " dataDxfId="16"/>
    <tableColumn id="4" xr3:uid="{1DE86A0F-37EC-458D-8865-7B55274B1F69}" name="Definition" dataDxfId="15"/>
    <tableColumn id="5" xr3:uid="{97757DF3-BC65-449F-9AAC-AF56D9B7B503}" name="Instructions" dataDxfId="14"/>
    <tableColumn id="6" xr3:uid="{432BA410-9A33-44BD-91D0-963BA547DF5B}" name="Valid Values" dataDxfId="13"/>
    <tableColumn id="7" xr3:uid="{D9088AE8-2188-49DE-A594-BBED33F8278D}" name="Indicator" dataDxfId="12"/>
    <tableColumn id="8" xr3:uid="{D33E931E-6869-4102-8B7F-22AD9B131950}" name="Follow-up" dataDxfId="11"/>
  </tableColumns>
  <tableStyleInfo name="TableStyleMedium9" showFirstColumn="1"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34AD8-3927-4CD9-A6EA-A7700ABC8626}">
  <dimension ref="A1:I29"/>
  <sheetViews>
    <sheetView zoomScale="76" zoomScaleNormal="76" workbookViewId="0">
      <pane xSplit="3" ySplit="1" topLeftCell="D2" activePane="bottomRight" state="frozen"/>
      <selection pane="topRight"/>
      <selection pane="bottomLeft"/>
      <selection pane="bottomRight" activeCell="E39" sqref="E39"/>
    </sheetView>
  </sheetViews>
  <sheetFormatPr baseColWidth="10" defaultColWidth="9.1640625" defaultRowHeight="15" x14ac:dyDescent="0.2"/>
  <cols>
    <col min="1" max="1" width="14" customWidth="1"/>
    <col min="2" max="2" width="8.5" bestFit="1" customWidth="1"/>
    <col min="3" max="3" width="17.5" style="47" customWidth="1"/>
    <col min="4" max="4" width="47.5" customWidth="1"/>
    <col min="5" max="5" width="37.5" customWidth="1"/>
    <col min="6" max="6" width="37.33203125" customWidth="1"/>
    <col min="7" max="7" width="45.5" customWidth="1"/>
    <col min="8" max="8" width="50.5" customWidth="1"/>
  </cols>
  <sheetData>
    <row r="1" spans="1:9" ht="16" x14ac:dyDescent="0.2">
      <c r="A1" s="120" t="s">
        <v>0</v>
      </c>
      <c r="B1" s="120" t="s">
        <v>1</v>
      </c>
      <c r="C1" s="121" t="s">
        <v>2</v>
      </c>
      <c r="D1" s="122" t="s">
        <v>3</v>
      </c>
      <c r="E1" s="122" t="s">
        <v>4</v>
      </c>
      <c r="F1" s="122" t="s">
        <v>5</v>
      </c>
      <c r="G1" s="122" t="s">
        <v>6</v>
      </c>
      <c r="H1" s="122" t="s">
        <v>7</v>
      </c>
    </row>
    <row r="2" spans="1:9" ht="96" x14ac:dyDescent="0.2">
      <c r="A2" s="119" t="s">
        <v>8</v>
      </c>
      <c r="B2" s="123">
        <v>1</v>
      </c>
      <c r="C2" s="124" t="s">
        <v>9</v>
      </c>
      <c r="D2" s="125" t="s">
        <v>10</v>
      </c>
      <c r="E2" s="125" t="s">
        <v>11</v>
      </c>
      <c r="F2" s="125" t="s">
        <v>12</v>
      </c>
      <c r="G2" s="125" t="s">
        <v>13</v>
      </c>
      <c r="H2" s="125" t="s">
        <v>14</v>
      </c>
      <c r="I2" s="47"/>
    </row>
    <row r="3" spans="1:9" ht="96" x14ac:dyDescent="0.2">
      <c r="A3" s="119" t="s">
        <v>8</v>
      </c>
      <c r="B3" s="56">
        <v>2</v>
      </c>
      <c r="C3" s="57" t="s">
        <v>15</v>
      </c>
      <c r="D3" s="48" t="s">
        <v>16</v>
      </c>
      <c r="E3" s="48" t="s">
        <v>17</v>
      </c>
      <c r="F3" s="59" t="s">
        <v>18</v>
      </c>
      <c r="G3" s="49" t="s">
        <v>19</v>
      </c>
      <c r="H3" s="50" t="s">
        <v>20</v>
      </c>
    </row>
    <row r="4" spans="1:9" ht="112" x14ac:dyDescent="0.2">
      <c r="A4" s="119" t="s">
        <v>8</v>
      </c>
      <c r="B4" s="123">
        <v>3</v>
      </c>
      <c r="C4" s="124" t="s">
        <v>21</v>
      </c>
      <c r="D4" s="125" t="s">
        <v>22</v>
      </c>
      <c r="E4" s="126" t="s">
        <v>23</v>
      </c>
      <c r="F4" s="126" t="s">
        <v>24</v>
      </c>
      <c r="G4" s="125" t="s">
        <v>25</v>
      </c>
      <c r="H4" s="127" t="s">
        <v>26</v>
      </c>
    </row>
    <row r="5" spans="1:9" ht="126.75" customHeight="1" x14ac:dyDescent="0.2">
      <c r="A5" s="119" t="s">
        <v>8</v>
      </c>
      <c r="B5" s="56">
        <v>4</v>
      </c>
      <c r="C5" s="57" t="s">
        <v>27</v>
      </c>
      <c r="D5" s="48" t="s">
        <v>28</v>
      </c>
      <c r="E5" s="48" t="s">
        <v>29</v>
      </c>
      <c r="F5" s="51" t="s">
        <v>30</v>
      </c>
      <c r="G5" s="48" t="s">
        <v>31</v>
      </c>
      <c r="H5" s="50" t="s">
        <v>32</v>
      </c>
    </row>
    <row r="6" spans="1:9" ht="112" x14ac:dyDescent="0.2">
      <c r="A6" s="119" t="s">
        <v>8</v>
      </c>
      <c r="B6" s="123">
        <v>5</v>
      </c>
      <c r="C6" s="124" t="s">
        <v>33</v>
      </c>
      <c r="D6" s="125" t="s">
        <v>34</v>
      </c>
      <c r="E6" s="125" t="s">
        <v>35</v>
      </c>
      <c r="F6" s="125" t="s">
        <v>36</v>
      </c>
      <c r="G6" s="125" t="s">
        <v>37</v>
      </c>
      <c r="H6" s="127" t="s">
        <v>38</v>
      </c>
    </row>
    <row r="7" spans="1:9" ht="64" x14ac:dyDescent="0.2">
      <c r="A7" s="119" t="s">
        <v>8</v>
      </c>
      <c r="B7" s="56">
        <v>6</v>
      </c>
      <c r="C7" s="60" t="s">
        <v>39</v>
      </c>
      <c r="D7" s="63" t="s">
        <v>40</v>
      </c>
      <c r="E7" s="61" t="s">
        <v>41</v>
      </c>
      <c r="F7" s="61" t="s">
        <v>42</v>
      </c>
      <c r="G7" s="62" t="s">
        <v>43</v>
      </c>
      <c r="H7" s="64" t="s">
        <v>38</v>
      </c>
    </row>
    <row r="8" spans="1:9" ht="160" x14ac:dyDescent="0.2">
      <c r="A8" s="119" t="s">
        <v>8</v>
      </c>
      <c r="B8" s="123">
        <v>7</v>
      </c>
      <c r="C8" s="124" t="s">
        <v>44</v>
      </c>
      <c r="D8" s="128" t="s">
        <v>45</v>
      </c>
      <c r="E8" s="125" t="s">
        <v>46</v>
      </c>
      <c r="F8" s="129" t="s">
        <v>47</v>
      </c>
      <c r="G8" s="125" t="s">
        <v>48</v>
      </c>
      <c r="H8" s="127" t="s">
        <v>49</v>
      </c>
    </row>
    <row r="9" spans="1:9" ht="144" x14ac:dyDescent="0.2">
      <c r="A9" s="119" t="s">
        <v>8</v>
      </c>
      <c r="B9" s="56">
        <v>8</v>
      </c>
      <c r="C9" s="57" t="s">
        <v>50</v>
      </c>
      <c r="D9" s="48" t="s">
        <v>51</v>
      </c>
      <c r="E9" s="48" t="s">
        <v>52</v>
      </c>
      <c r="F9" s="52" t="s">
        <v>53</v>
      </c>
      <c r="G9" s="48" t="s">
        <v>54</v>
      </c>
      <c r="H9" s="51" t="s">
        <v>55</v>
      </c>
    </row>
    <row r="10" spans="1:9" ht="160" x14ac:dyDescent="0.2">
      <c r="A10" s="119" t="s">
        <v>8</v>
      </c>
      <c r="B10" s="123">
        <v>9</v>
      </c>
      <c r="C10" s="124" t="s">
        <v>56</v>
      </c>
      <c r="D10" s="125" t="s">
        <v>57</v>
      </c>
      <c r="E10" s="125" t="s">
        <v>58</v>
      </c>
      <c r="F10" s="129" t="s">
        <v>59</v>
      </c>
      <c r="G10" s="125" t="s">
        <v>60</v>
      </c>
      <c r="H10" s="127" t="s">
        <v>61</v>
      </c>
    </row>
    <row r="11" spans="1:9" ht="128" x14ac:dyDescent="0.2">
      <c r="A11" s="119" t="s">
        <v>8</v>
      </c>
      <c r="B11" s="56">
        <v>10</v>
      </c>
      <c r="C11" s="57" t="s">
        <v>62</v>
      </c>
      <c r="D11" s="48" t="s">
        <v>63</v>
      </c>
      <c r="E11" s="48" t="s">
        <v>64</v>
      </c>
      <c r="F11" s="53" t="s">
        <v>65</v>
      </c>
      <c r="G11" s="48" t="s">
        <v>66</v>
      </c>
      <c r="H11" s="48" t="s">
        <v>67</v>
      </c>
    </row>
    <row r="12" spans="1:9" ht="112" x14ac:dyDescent="0.2">
      <c r="A12" s="119" t="s">
        <v>68</v>
      </c>
      <c r="B12" s="123">
        <v>1</v>
      </c>
      <c r="C12" s="124" t="s">
        <v>69</v>
      </c>
      <c r="D12" s="130" t="s">
        <v>70</v>
      </c>
      <c r="E12" s="125" t="s">
        <v>71</v>
      </c>
      <c r="F12" s="125" t="s">
        <v>72</v>
      </c>
      <c r="G12" s="125" t="s">
        <v>73</v>
      </c>
      <c r="H12" s="125" t="s">
        <v>74</v>
      </c>
    </row>
    <row r="13" spans="1:9" ht="112" x14ac:dyDescent="0.2">
      <c r="A13" s="119" t="s">
        <v>68</v>
      </c>
      <c r="B13" s="56">
        <v>2</v>
      </c>
      <c r="C13" s="57" t="s">
        <v>75</v>
      </c>
      <c r="D13" s="16" t="s">
        <v>76</v>
      </c>
      <c r="E13" s="48" t="s">
        <v>77</v>
      </c>
      <c r="F13" s="48" t="s">
        <v>78</v>
      </c>
      <c r="G13" s="48" t="s">
        <v>79</v>
      </c>
      <c r="H13" s="48" t="s">
        <v>80</v>
      </c>
    </row>
    <row r="14" spans="1:9" ht="112" x14ac:dyDescent="0.2">
      <c r="A14" s="119" t="s">
        <v>68</v>
      </c>
      <c r="B14" s="123">
        <v>3</v>
      </c>
      <c r="C14" s="124" t="s">
        <v>81</v>
      </c>
      <c r="D14" s="125" t="s">
        <v>82</v>
      </c>
      <c r="E14" s="125" t="s">
        <v>83</v>
      </c>
      <c r="F14" s="125" t="s">
        <v>84</v>
      </c>
      <c r="G14" s="125" t="s">
        <v>85</v>
      </c>
      <c r="H14" s="125" t="s">
        <v>86</v>
      </c>
    </row>
    <row r="15" spans="1:9" ht="128" x14ac:dyDescent="0.2">
      <c r="A15" s="119" t="s">
        <v>68</v>
      </c>
      <c r="B15" s="56">
        <v>4</v>
      </c>
      <c r="C15" s="57" t="s">
        <v>87</v>
      </c>
      <c r="D15" s="16" t="s">
        <v>88</v>
      </c>
      <c r="E15" s="48" t="s">
        <v>89</v>
      </c>
      <c r="F15" s="48" t="s">
        <v>90</v>
      </c>
      <c r="G15" s="48" t="s">
        <v>91</v>
      </c>
      <c r="H15" s="48" t="s">
        <v>92</v>
      </c>
    </row>
    <row r="16" spans="1:9" ht="128" x14ac:dyDescent="0.2">
      <c r="A16" s="119" t="s">
        <v>68</v>
      </c>
      <c r="B16" s="123">
        <v>5</v>
      </c>
      <c r="C16" s="124" t="s">
        <v>93</v>
      </c>
      <c r="D16" s="130" t="s">
        <v>94</v>
      </c>
      <c r="E16" s="125" t="s">
        <v>95</v>
      </c>
      <c r="F16" s="125" t="s">
        <v>96</v>
      </c>
      <c r="G16" s="125" t="s">
        <v>97</v>
      </c>
      <c r="H16" s="125" t="s">
        <v>98</v>
      </c>
    </row>
    <row r="17" spans="1:8" ht="120" customHeight="1" x14ac:dyDescent="0.2">
      <c r="A17" s="119" t="s">
        <v>68</v>
      </c>
      <c r="B17" s="56">
        <v>6</v>
      </c>
      <c r="C17" s="57" t="s">
        <v>99</v>
      </c>
      <c r="D17" s="16" t="s">
        <v>100</v>
      </c>
      <c r="E17" s="48" t="s">
        <v>101</v>
      </c>
      <c r="F17" s="48" t="s">
        <v>102</v>
      </c>
      <c r="G17" s="48" t="s">
        <v>103</v>
      </c>
      <c r="H17" s="48" t="s">
        <v>104</v>
      </c>
    </row>
    <row r="18" spans="1:8" ht="132" customHeight="1" x14ac:dyDescent="0.2">
      <c r="A18" s="119" t="s">
        <v>68</v>
      </c>
      <c r="B18" s="123">
        <v>7</v>
      </c>
      <c r="C18" s="124" t="s">
        <v>105</v>
      </c>
      <c r="D18" s="130" t="s">
        <v>106</v>
      </c>
      <c r="E18" s="125" t="s">
        <v>107</v>
      </c>
      <c r="F18" s="125" t="s">
        <v>108</v>
      </c>
      <c r="G18" s="125" t="s">
        <v>109</v>
      </c>
      <c r="H18" s="125" t="s">
        <v>110</v>
      </c>
    </row>
    <row r="19" spans="1:8" ht="96" x14ac:dyDescent="0.2">
      <c r="A19" s="119" t="s">
        <v>68</v>
      </c>
      <c r="B19" s="56">
        <v>8</v>
      </c>
      <c r="C19" s="57" t="s">
        <v>111</v>
      </c>
      <c r="D19" s="16" t="s">
        <v>112</v>
      </c>
      <c r="E19" s="48" t="s">
        <v>113</v>
      </c>
      <c r="F19" s="48" t="s">
        <v>114</v>
      </c>
      <c r="G19" s="48" t="s">
        <v>115</v>
      </c>
      <c r="H19" s="48" t="s">
        <v>116</v>
      </c>
    </row>
    <row r="20" spans="1:8" ht="112" x14ac:dyDescent="0.2">
      <c r="A20" s="119" t="s">
        <v>68</v>
      </c>
      <c r="B20" s="123">
        <v>9</v>
      </c>
      <c r="C20" s="124" t="s">
        <v>117</v>
      </c>
      <c r="D20" s="130" t="s">
        <v>118</v>
      </c>
      <c r="E20" s="125" t="s">
        <v>119</v>
      </c>
      <c r="F20" s="125" t="s">
        <v>120</v>
      </c>
      <c r="G20" s="125" t="s">
        <v>121</v>
      </c>
      <c r="H20" s="125" t="s">
        <v>122</v>
      </c>
    </row>
    <row r="21" spans="1:8" ht="112" x14ac:dyDescent="0.2">
      <c r="A21" s="119" t="s">
        <v>68</v>
      </c>
      <c r="B21" s="56">
        <v>10</v>
      </c>
      <c r="C21" s="57" t="s">
        <v>123</v>
      </c>
      <c r="D21" s="48" t="s">
        <v>124</v>
      </c>
      <c r="E21" s="48" t="s">
        <v>125</v>
      </c>
      <c r="F21" s="48" t="s">
        <v>126</v>
      </c>
      <c r="G21" s="48" t="s">
        <v>127</v>
      </c>
      <c r="H21" s="48" t="s">
        <v>128</v>
      </c>
    </row>
    <row r="22" spans="1:8" ht="112" x14ac:dyDescent="0.2">
      <c r="A22" s="119" t="s">
        <v>68</v>
      </c>
      <c r="B22" s="123">
        <v>11</v>
      </c>
      <c r="C22" s="131" t="s">
        <v>129</v>
      </c>
      <c r="D22" s="125" t="s">
        <v>130</v>
      </c>
      <c r="E22" s="126" t="s">
        <v>131</v>
      </c>
      <c r="F22" s="125" t="s">
        <v>132</v>
      </c>
      <c r="G22" s="125" t="s">
        <v>133</v>
      </c>
      <c r="H22" s="125" t="s">
        <v>134</v>
      </c>
    </row>
    <row r="23" spans="1:8" ht="32" x14ac:dyDescent="0.2">
      <c r="A23" s="118" t="s">
        <v>135</v>
      </c>
      <c r="B23" s="56">
        <v>1</v>
      </c>
      <c r="C23" s="57" t="s">
        <v>136</v>
      </c>
      <c r="D23" s="16" t="s">
        <v>137</v>
      </c>
      <c r="E23" s="48" t="s">
        <v>138</v>
      </c>
      <c r="F23" s="48" t="s">
        <v>139</v>
      </c>
      <c r="G23" s="16" t="s">
        <v>140</v>
      </c>
      <c r="H23" s="16" t="s">
        <v>141</v>
      </c>
    </row>
    <row r="24" spans="1:8" ht="80" x14ac:dyDescent="0.2">
      <c r="A24" s="118" t="s">
        <v>135</v>
      </c>
      <c r="B24" s="123">
        <v>2</v>
      </c>
      <c r="C24" s="124" t="s">
        <v>142</v>
      </c>
      <c r="D24" s="125" t="s">
        <v>143</v>
      </c>
      <c r="E24" s="125" t="s">
        <v>144</v>
      </c>
      <c r="F24" s="125" t="s">
        <v>145</v>
      </c>
      <c r="G24" s="125" t="s">
        <v>146</v>
      </c>
      <c r="H24" s="125" t="s">
        <v>147</v>
      </c>
    </row>
    <row r="25" spans="1:8" ht="112" x14ac:dyDescent="0.2">
      <c r="A25" s="118" t="s">
        <v>135</v>
      </c>
      <c r="B25" s="56">
        <v>3</v>
      </c>
      <c r="C25" s="57" t="s">
        <v>148</v>
      </c>
      <c r="D25" s="48" t="s">
        <v>149</v>
      </c>
      <c r="E25" s="54" t="s">
        <v>150</v>
      </c>
      <c r="F25" s="54" t="s">
        <v>151</v>
      </c>
      <c r="G25" s="55" t="s">
        <v>152</v>
      </c>
      <c r="H25" s="55" t="s">
        <v>153</v>
      </c>
    </row>
    <row r="26" spans="1:8" ht="112" x14ac:dyDescent="0.2">
      <c r="A26" s="118" t="s">
        <v>135</v>
      </c>
      <c r="B26" s="123">
        <v>4</v>
      </c>
      <c r="C26" s="124" t="s">
        <v>154</v>
      </c>
      <c r="D26" s="125" t="s">
        <v>155</v>
      </c>
      <c r="E26" s="126" t="s">
        <v>156</v>
      </c>
      <c r="F26" s="126" t="s">
        <v>151</v>
      </c>
      <c r="G26" s="132" t="s">
        <v>157</v>
      </c>
      <c r="H26" s="132" t="s">
        <v>158</v>
      </c>
    </row>
    <row r="27" spans="1:8" ht="112" x14ac:dyDescent="0.2">
      <c r="A27" s="118" t="s">
        <v>135</v>
      </c>
      <c r="B27" s="56">
        <v>5</v>
      </c>
      <c r="C27" s="57" t="s">
        <v>159</v>
      </c>
      <c r="D27" s="48" t="s">
        <v>160</v>
      </c>
      <c r="E27" s="54" t="s">
        <v>161</v>
      </c>
      <c r="F27" s="54" t="s">
        <v>151</v>
      </c>
      <c r="G27" s="48" t="s">
        <v>162</v>
      </c>
      <c r="H27" s="48" t="s">
        <v>163</v>
      </c>
    </row>
    <row r="28" spans="1:8" ht="112" x14ac:dyDescent="0.2">
      <c r="A28" s="118" t="s">
        <v>135</v>
      </c>
      <c r="B28" s="123">
        <v>6</v>
      </c>
      <c r="C28" s="124" t="s">
        <v>164</v>
      </c>
      <c r="D28" s="125" t="s">
        <v>165</v>
      </c>
      <c r="E28" s="126" t="s">
        <v>166</v>
      </c>
      <c r="F28" s="126" t="s">
        <v>151</v>
      </c>
      <c r="G28" s="125" t="s">
        <v>167</v>
      </c>
      <c r="H28" s="125" t="s">
        <v>168</v>
      </c>
    </row>
    <row r="29" spans="1:8" ht="112" x14ac:dyDescent="0.2">
      <c r="A29" s="118" t="s">
        <v>135</v>
      </c>
      <c r="B29" s="56">
        <v>7</v>
      </c>
      <c r="C29" s="57" t="s">
        <v>169</v>
      </c>
      <c r="D29" s="48" t="s">
        <v>170</v>
      </c>
      <c r="E29" s="54" t="s">
        <v>171</v>
      </c>
      <c r="F29" s="54" t="s">
        <v>151</v>
      </c>
      <c r="G29" s="48" t="s">
        <v>172</v>
      </c>
      <c r="H29" s="48" t="s">
        <v>173</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91B33-5EAA-4E37-8490-29B3839D4C01}">
  <sheetPr codeName="Sheet4">
    <tabColor theme="4" tint="0.39997558519241921"/>
  </sheetPr>
  <dimension ref="A1:AF39"/>
  <sheetViews>
    <sheetView zoomScale="93" zoomScaleNormal="93" workbookViewId="0">
      <selection activeCell="F27" sqref="F27"/>
    </sheetView>
  </sheetViews>
  <sheetFormatPr baseColWidth="10" defaultColWidth="8.83203125" defaultRowHeight="15" customHeight="1" x14ac:dyDescent="0.2"/>
  <cols>
    <col min="1" max="1" width="27.5" customWidth="1"/>
    <col min="2" max="2" width="20.5" customWidth="1"/>
    <col min="14" max="14" width="36.5" customWidth="1"/>
    <col min="26" max="26" width="17.1640625" customWidth="1"/>
    <col min="27" max="30" width="12.6640625" customWidth="1"/>
  </cols>
  <sheetData>
    <row r="1" spans="1:32" ht="23.25" customHeight="1" x14ac:dyDescent="0.2">
      <c r="A1" s="116" t="s">
        <v>8</v>
      </c>
      <c r="B1" s="117"/>
      <c r="C1" s="32" t="s">
        <v>174</v>
      </c>
      <c r="D1" s="32"/>
      <c r="E1" s="32" t="s">
        <v>175</v>
      </c>
      <c r="F1" s="32"/>
      <c r="G1" s="32" t="s">
        <v>176</v>
      </c>
      <c r="H1" s="32"/>
      <c r="I1" s="32" t="s">
        <v>177</v>
      </c>
      <c r="J1" s="32"/>
      <c r="K1" s="32" t="s">
        <v>178</v>
      </c>
      <c r="L1" s="32"/>
      <c r="N1" s="116" t="s">
        <v>68</v>
      </c>
      <c r="O1" s="117"/>
      <c r="P1" s="117"/>
      <c r="Q1" s="117"/>
      <c r="R1" s="117"/>
      <c r="S1" s="117"/>
      <c r="T1" s="117"/>
      <c r="U1" s="117"/>
      <c r="V1" s="117"/>
      <c r="W1" s="117"/>
      <c r="X1" s="117"/>
    </row>
    <row r="2" spans="1:32" x14ac:dyDescent="0.2">
      <c r="A2" s="117"/>
      <c r="B2" s="117"/>
      <c r="C2" s="2" t="s">
        <v>179</v>
      </c>
      <c r="D2" s="3" t="s">
        <v>180</v>
      </c>
      <c r="E2" s="2" t="s">
        <v>179</v>
      </c>
      <c r="F2" s="3" t="s">
        <v>180</v>
      </c>
      <c r="G2" s="2" t="s">
        <v>179</v>
      </c>
      <c r="H2" s="3" t="s">
        <v>180</v>
      </c>
      <c r="I2" s="2" t="s">
        <v>179</v>
      </c>
      <c r="J2" s="3" t="s">
        <v>180</v>
      </c>
      <c r="K2" s="2" t="s">
        <v>179</v>
      </c>
      <c r="L2" s="3" t="s">
        <v>180</v>
      </c>
      <c r="N2" s="117"/>
      <c r="O2" s="66" t="s">
        <v>174</v>
      </c>
      <c r="P2" s="66"/>
      <c r="Q2" s="66" t="s">
        <v>175</v>
      </c>
      <c r="R2" s="66"/>
      <c r="S2" s="66" t="s">
        <v>176</v>
      </c>
      <c r="T2" s="66"/>
      <c r="U2" s="66" t="s">
        <v>177</v>
      </c>
      <c r="V2" s="66"/>
      <c r="W2" s="66" t="s">
        <v>178</v>
      </c>
      <c r="X2" s="66"/>
    </row>
    <row r="3" spans="1:32" x14ac:dyDescent="0.2">
      <c r="A3" s="33" t="str">
        <f>"Region "&amp;COUNTIF($A$1:A1,"Region*")+1</f>
        <v>Region 1</v>
      </c>
      <c r="B3" s="33"/>
      <c r="C3" s="33"/>
      <c r="D3" s="33"/>
      <c r="E3" s="33"/>
      <c r="F3" s="33"/>
      <c r="G3" s="33"/>
      <c r="H3" s="33"/>
      <c r="I3" s="33"/>
      <c r="J3" s="33"/>
      <c r="K3" s="33"/>
      <c r="L3" s="4"/>
      <c r="N3" s="117"/>
      <c r="O3" s="2" t="s">
        <v>179</v>
      </c>
      <c r="P3" s="3" t="s">
        <v>180</v>
      </c>
      <c r="Q3" s="2" t="s">
        <v>179</v>
      </c>
      <c r="R3" s="3" t="s">
        <v>180</v>
      </c>
      <c r="S3" s="2" t="s">
        <v>179</v>
      </c>
      <c r="T3" s="3" t="s">
        <v>180</v>
      </c>
      <c r="U3" s="2" t="s">
        <v>179</v>
      </c>
      <c r="V3" s="3" t="s">
        <v>180</v>
      </c>
      <c r="W3" s="2" t="s">
        <v>179</v>
      </c>
      <c r="X3" s="3" t="s">
        <v>180</v>
      </c>
      <c r="Z3" s="16"/>
    </row>
    <row r="4" spans="1:32" x14ac:dyDescent="0.2">
      <c r="A4" s="73" t="s">
        <v>9</v>
      </c>
      <c r="B4" s="73"/>
      <c r="C4" s="110">
        <v>200</v>
      </c>
      <c r="D4" s="18">
        <f>IFERROR(C4/K4,"N/A")</f>
        <v>0.4</v>
      </c>
      <c r="E4" s="110">
        <v>100</v>
      </c>
      <c r="F4" s="18">
        <f>IFERROR(E4/K4,"N/A")</f>
        <v>0.2</v>
      </c>
      <c r="G4" s="110">
        <v>100</v>
      </c>
      <c r="H4" s="18">
        <f>IFERROR(G4/K4,"N/A")</f>
        <v>0.2</v>
      </c>
      <c r="I4" s="110">
        <v>100</v>
      </c>
      <c r="J4" s="18">
        <f>IFERROR(I4/K4,"N/A")</f>
        <v>0.2</v>
      </c>
      <c r="K4" s="9">
        <f>C4+E4+G4+I4</f>
        <v>500</v>
      </c>
      <c r="L4" s="18">
        <f>IFERROR(K4/K4, "N/A")</f>
        <v>1</v>
      </c>
      <c r="N4" s="67" t="str">
        <f>"Region "&amp;COUNTIF($A$1:N1,"Region*")+1</f>
        <v>Region 1</v>
      </c>
      <c r="O4" s="67"/>
      <c r="P4" s="67"/>
      <c r="Q4" s="67"/>
      <c r="R4" s="67"/>
      <c r="S4" s="67"/>
      <c r="T4" s="67"/>
      <c r="U4" s="67"/>
      <c r="V4" s="67"/>
      <c r="W4" s="67"/>
      <c r="X4" s="4">
        <f>W5/W5</f>
        <v>1</v>
      </c>
      <c r="Z4" s="16"/>
      <c r="AA4" s="35" t="s">
        <v>174</v>
      </c>
      <c r="AB4" s="32" t="s">
        <v>175</v>
      </c>
      <c r="AC4" s="35" t="s">
        <v>176</v>
      </c>
      <c r="AD4" s="43" t="s">
        <v>177</v>
      </c>
    </row>
    <row r="5" spans="1:32" s="6" customFormat="1" ht="28.5" customHeight="1" x14ac:dyDescent="0.2">
      <c r="A5" s="73" t="s">
        <v>15</v>
      </c>
      <c r="B5" s="73"/>
      <c r="C5" s="109">
        <v>196</v>
      </c>
      <c r="D5" s="18">
        <f>IFERROR(C5/K5,"N/A")</f>
        <v>0.54143646408839774</v>
      </c>
      <c r="E5" s="109">
        <v>51</v>
      </c>
      <c r="F5" s="18">
        <f>IFERROR(E5/K5,"N/A")</f>
        <v>0.14088397790055249</v>
      </c>
      <c r="G5" s="110">
        <v>55</v>
      </c>
      <c r="H5" s="18">
        <f>IFERROR(G5/K5,"N/A")</f>
        <v>0.15193370165745856</v>
      </c>
      <c r="I5" s="110">
        <v>60</v>
      </c>
      <c r="J5" s="18">
        <f>IFERROR(I5/K5,"N/A")</f>
        <v>0.16574585635359115</v>
      </c>
      <c r="K5" s="9">
        <f>C5+E5+G5+I5</f>
        <v>362</v>
      </c>
      <c r="L5" s="18">
        <f>IFERROR(K5/K4, "N/A")</f>
        <v>0.72399999999999998</v>
      </c>
      <c r="N5" s="34" t="s">
        <v>181</v>
      </c>
      <c r="O5" s="110">
        <v>190</v>
      </c>
      <c r="P5" s="5">
        <f>IFERROR(O5/C4, "N/A")</f>
        <v>0.95</v>
      </c>
      <c r="Q5" s="110">
        <v>5</v>
      </c>
      <c r="R5" s="5">
        <f>IFERROR(Q5/E4, "N/A")</f>
        <v>0.05</v>
      </c>
      <c r="S5" s="110">
        <v>41</v>
      </c>
      <c r="T5" s="5">
        <f>IFERROR(S5/G4, "N/A")</f>
        <v>0.41</v>
      </c>
      <c r="U5" s="110">
        <v>22</v>
      </c>
      <c r="V5" s="5">
        <f>IFERROR(U5/I4, "N/A")</f>
        <v>0.22</v>
      </c>
      <c r="W5" s="9">
        <f>O5+Q5+S5+U5</f>
        <v>258</v>
      </c>
      <c r="X5" s="5">
        <f>IFERROR(W5/K4, "N/A")</f>
        <v>0.51600000000000001</v>
      </c>
      <c r="Z5" s="58" t="s">
        <v>182</v>
      </c>
      <c r="AA5" s="38">
        <v>1</v>
      </c>
      <c r="AB5" s="41">
        <v>1</v>
      </c>
      <c r="AC5" s="41">
        <v>1</v>
      </c>
      <c r="AD5" s="44">
        <v>1</v>
      </c>
    </row>
    <row r="6" spans="1:32" ht="32" x14ac:dyDescent="0.2">
      <c r="A6" s="73" t="s">
        <v>21</v>
      </c>
      <c r="B6" s="73" t="s">
        <v>21</v>
      </c>
      <c r="C6" s="109">
        <v>195</v>
      </c>
      <c r="D6" s="18">
        <f>IFERROR(C6/K6,"N/A")</f>
        <v>0.56521739130434778</v>
      </c>
      <c r="E6" s="109">
        <v>50</v>
      </c>
      <c r="F6" s="18">
        <f>IFERROR(E6/K6,"N/A")</f>
        <v>0.14492753623188406</v>
      </c>
      <c r="G6" s="110">
        <v>50</v>
      </c>
      <c r="H6" s="18">
        <f>IFERROR(G6/K6,"N/A")</f>
        <v>0.14492753623188406</v>
      </c>
      <c r="I6" s="110">
        <v>50</v>
      </c>
      <c r="J6" s="18">
        <f>IFERROR(I6/K6,"N/A")</f>
        <v>0.14492753623188406</v>
      </c>
      <c r="K6" s="9">
        <f>C6+E6+G6+I6</f>
        <v>345</v>
      </c>
      <c r="L6" s="18">
        <f>IFERROR(K6/K5, "N/A")</f>
        <v>0.95303867403314912</v>
      </c>
      <c r="N6" s="34" t="s">
        <v>75</v>
      </c>
      <c r="O6" s="110">
        <v>80</v>
      </c>
      <c r="P6" s="5">
        <f>IFERROR(O6/C5, "N/A")</f>
        <v>0.40816326530612246</v>
      </c>
      <c r="Q6" s="110">
        <v>0</v>
      </c>
      <c r="R6" s="5">
        <f>IFERROR(Q6/E5, "N/A")</f>
        <v>0</v>
      </c>
      <c r="S6" s="110">
        <v>0</v>
      </c>
      <c r="T6" s="5">
        <f>IFERROR(S6/G5, "N/A")</f>
        <v>0</v>
      </c>
      <c r="U6" s="110"/>
      <c r="V6" s="5">
        <f>IFERROR(U6/I5, "N/A")</f>
        <v>0</v>
      </c>
      <c r="W6" s="9">
        <f>O6+Q6+S6+U6</f>
        <v>80</v>
      </c>
      <c r="X6" s="5">
        <f>IFERROR(W6/K5, "N/A")</f>
        <v>0.22099447513812154</v>
      </c>
      <c r="Z6" s="36" t="s">
        <v>183</v>
      </c>
      <c r="AA6" s="39">
        <v>1</v>
      </c>
      <c r="AB6" s="42">
        <v>1</v>
      </c>
      <c r="AC6" s="42">
        <v>1</v>
      </c>
      <c r="AD6" s="45">
        <v>1</v>
      </c>
      <c r="AE6" s="65"/>
      <c r="AF6" s="65"/>
    </row>
    <row r="7" spans="1:32" ht="32" x14ac:dyDescent="0.2">
      <c r="A7" s="73" t="s">
        <v>27</v>
      </c>
      <c r="B7" s="73"/>
      <c r="C7" s="109">
        <v>192</v>
      </c>
      <c r="D7" s="18">
        <f>IFERROR(C7/C5,"N/A")</f>
        <v>0.97959183673469385</v>
      </c>
      <c r="E7" s="109">
        <v>5</v>
      </c>
      <c r="F7" s="18">
        <f>IFERROR(E7/E5,"N/A")</f>
        <v>9.8039215686274508E-2</v>
      </c>
      <c r="G7" s="110">
        <v>41</v>
      </c>
      <c r="H7" s="18">
        <f>IFERROR(G7/G5,"N/A")</f>
        <v>0.74545454545454548</v>
      </c>
      <c r="I7" s="110">
        <v>22</v>
      </c>
      <c r="J7" s="18">
        <f>IFERROR(I7/I5,"N/A")</f>
        <v>0.36666666666666664</v>
      </c>
      <c r="K7" s="9">
        <f>C7+E7+G7+I7</f>
        <v>260</v>
      </c>
      <c r="L7" s="18">
        <f>IFERROR(K7/K5, "N/A")</f>
        <v>0.71823204419889508</v>
      </c>
      <c r="N7" s="34" t="s">
        <v>81</v>
      </c>
      <c r="O7" s="110">
        <v>70</v>
      </c>
      <c r="P7" s="5">
        <f>IFERROR(O7/C7, "N/A")</f>
        <v>0.36458333333333331</v>
      </c>
      <c r="Q7" s="110">
        <v>0</v>
      </c>
      <c r="R7" s="5">
        <f>IFERROR(Q7/E7, "N/A")</f>
        <v>0</v>
      </c>
      <c r="S7" s="110">
        <v>0</v>
      </c>
      <c r="T7" s="5">
        <f>IFERROR(S7/G7, "N/A")</f>
        <v>0</v>
      </c>
      <c r="U7" s="110">
        <v>0</v>
      </c>
      <c r="V7" s="5">
        <f>IFERROR(U7/I7, "N/A")</f>
        <v>0</v>
      </c>
      <c r="W7" s="9">
        <f>O7+Q7+S7+U7</f>
        <v>70</v>
      </c>
      <c r="X7" s="5">
        <f>IFERROR(W7/K7, "N/A")</f>
        <v>0.26923076923076922</v>
      </c>
      <c r="Z7" s="36" t="s">
        <v>184</v>
      </c>
      <c r="AA7" s="40">
        <f>AA5/AA6</f>
        <v>1</v>
      </c>
      <c r="AB7" s="37">
        <f t="shared" ref="AB7" si="0">AB5/AB6</f>
        <v>1</v>
      </c>
      <c r="AC7" s="37">
        <f t="shared" ref="AC7" si="1">AC5/AC6</f>
        <v>1</v>
      </c>
      <c r="AD7" s="37">
        <f t="shared" ref="AD7" si="2">AD5/AD6</f>
        <v>1</v>
      </c>
    </row>
    <row r="8" spans="1:32" ht="31.5" customHeight="1" x14ac:dyDescent="0.2">
      <c r="A8" s="73" t="s">
        <v>33</v>
      </c>
      <c r="B8" s="73"/>
      <c r="C8" s="109">
        <v>182</v>
      </c>
      <c r="D8" s="18">
        <f>IFERROR(C8/C7,"N/A")</f>
        <v>0.94791666666666663</v>
      </c>
      <c r="E8" s="109">
        <v>5</v>
      </c>
      <c r="F8" s="18">
        <f>IFERROR(E8/E7,"N/A")</f>
        <v>1</v>
      </c>
      <c r="G8" s="110">
        <v>36</v>
      </c>
      <c r="H8" s="18">
        <f>IFERROR(G8/G7,"N/A")</f>
        <v>0.87804878048780488</v>
      </c>
      <c r="I8" s="111">
        <v>22</v>
      </c>
      <c r="J8" s="18">
        <f>IFERROR(I8/I7,"N/A")</f>
        <v>1</v>
      </c>
      <c r="K8" s="9">
        <f>C8+E8+G8+I8</f>
        <v>245</v>
      </c>
      <c r="L8" s="18">
        <f>IFERROR(K8/K7, "N/A")</f>
        <v>0.94230769230769229</v>
      </c>
      <c r="N8" s="34" t="s">
        <v>87</v>
      </c>
      <c r="O8" s="110">
        <v>60</v>
      </c>
      <c r="P8" s="5">
        <f>IFERROR(O8/C8, "N/A")</f>
        <v>0.32967032967032966</v>
      </c>
      <c r="Q8" s="110">
        <v>0</v>
      </c>
      <c r="R8" s="5">
        <f>IFERROR(Q8/E8, "N/A")</f>
        <v>0</v>
      </c>
      <c r="S8" s="110">
        <v>0</v>
      </c>
      <c r="T8" s="5">
        <f>IFERROR(S8/G8, "N/A")</f>
        <v>0</v>
      </c>
      <c r="U8" s="110">
        <v>0</v>
      </c>
      <c r="V8" s="5">
        <f>IFERROR(U8/I8, "N/A")</f>
        <v>0</v>
      </c>
      <c r="W8" s="9">
        <f>O8+Q8+S8+U8</f>
        <v>60</v>
      </c>
      <c r="X8" s="5">
        <f>IFERROR(W8/K8, "N/A")</f>
        <v>0.24489795918367346</v>
      </c>
    </row>
    <row r="9" spans="1:32" x14ac:dyDescent="0.2">
      <c r="A9" s="73" t="s">
        <v>39</v>
      </c>
      <c r="B9" s="73"/>
      <c r="C9" s="7">
        <f>C7-C8</f>
        <v>10</v>
      </c>
      <c r="D9" s="18">
        <f>IFERROR(C9/C7, "N/A")</f>
        <v>5.2083333333333336E-2</v>
      </c>
      <c r="E9" s="7">
        <f>E7-E8</f>
        <v>0</v>
      </c>
      <c r="F9" s="18">
        <f>IFERROR(E9/E7, "N/A")</f>
        <v>0</v>
      </c>
      <c r="G9" s="7">
        <f>G7-G8</f>
        <v>5</v>
      </c>
      <c r="H9" s="18">
        <f>IFERROR(G9/G7, "N/A")</f>
        <v>0.12195121951219512</v>
      </c>
      <c r="I9" s="7">
        <f>I7-I8</f>
        <v>0</v>
      </c>
      <c r="J9" s="18">
        <f>IFERROR(I9/I7, "N/A")</f>
        <v>0</v>
      </c>
      <c r="K9" s="10">
        <f>SUM(C9,E9,G9,I9)</f>
        <v>15</v>
      </c>
      <c r="L9" s="18">
        <f>1-L8</f>
        <v>5.7692307692307709E-2</v>
      </c>
      <c r="N9" s="12"/>
      <c r="O9" s="12"/>
      <c r="P9" s="13"/>
      <c r="Q9" s="12"/>
      <c r="R9" s="13"/>
      <c r="S9" s="12"/>
      <c r="T9" s="14"/>
      <c r="U9" s="12"/>
      <c r="V9" s="14"/>
      <c r="W9" s="12"/>
      <c r="X9" s="14"/>
    </row>
    <row r="10" spans="1:32" x14ac:dyDescent="0.2">
      <c r="A10" s="74" t="s">
        <v>44</v>
      </c>
      <c r="B10" s="105" t="s">
        <v>185</v>
      </c>
      <c r="C10" s="109">
        <v>80</v>
      </c>
      <c r="D10" s="18">
        <f>IFERROR(C10/C8, "N/A")</f>
        <v>0.43956043956043955</v>
      </c>
      <c r="E10" s="109">
        <v>0</v>
      </c>
      <c r="F10" s="18">
        <f>IFERROR(E10/E8, "N/A")</f>
        <v>0</v>
      </c>
      <c r="G10" s="110">
        <v>0</v>
      </c>
      <c r="H10" s="18">
        <f>IFERROR(G10/G8, "N/A")</f>
        <v>0</v>
      </c>
      <c r="I10" s="111">
        <v>5</v>
      </c>
      <c r="J10" s="18">
        <f>IFERROR(I10/I8, "N/A")</f>
        <v>0.22727272727272727</v>
      </c>
      <c r="K10" s="10">
        <f>SUM(C10+E10+G10+I10)</f>
        <v>85</v>
      </c>
      <c r="L10" s="18">
        <f>IFERROR(K10/K8, "N/A")</f>
        <v>0.34693877551020408</v>
      </c>
      <c r="N10" s="12"/>
      <c r="O10" s="12"/>
      <c r="P10" s="13"/>
      <c r="Q10" s="12"/>
      <c r="R10" s="13"/>
      <c r="S10" s="12"/>
      <c r="T10" s="14"/>
      <c r="U10" s="12"/>
      <c r="V10" s="14"/>
      <c r="W10" s="12"/>
      <c r="X10" s="14"/>
    </row>
    <row r="11" spans="1:32" x14ac:dyDescent="0.2">
      <c r="A11" s="74"/>
      <c r="B11" s="106" t="s">
        <v>186</v>
      </c>
      <c r="C11" s="109">
        <v>90</v>
      </c>
      <c r="D11" s="18">
        <f>IFERROR(C11/C8, "N/A")</f>
        <v>0.49450549450549453</v>
      </c>
      <c r="E11" s="109">
        <v>3</v>
      </c>
      <c r="F11" s="18">
        <f>IFERROR(E11/E8, "N/A")</f>
        <v>0.6</v>
      </c>
      <c r="G11" s="110">
        <v>20</v>
      </c>
      <c r="H11" s="18">
        <f>IFERROR(G11/G8, "N/A")</f>
        <v>0.55555555555555558</v>
      </c>
      <c r="I11" s="110">
        <v>5</v>
      </c>
      <c r="J11" s="18">
        <f>IFERROR(I11/I8, "N/A")</f>
        <v>0.22727272727272727</v>
      </c>
      <c r="K11" s="9">
        <f>C11+E11+G11+I11</f>
        <v>118</v>
      </c>
      <c r="L11" s="18">
        <f>IFERROR(K11/K8, "N/A")</f>
        <v>0.48163265306122449</v>
      </c>
      <c r="N11" s="12"/>
      <c r="O11" s="12"/>
      <c r="P11" s="13"/>
      <c r="Q11" s="12"/>
      <c r="R11" s="13"/>
      <c r="S11" s="12"/>
      <c r="T11" s="14"/>
      <c r="U11" s="12"/>
      <c r="V11" s="14"/>
      <c r="W11" s="12"/>
      <c r="X11" s="14"/>
    </row>
    <row r="12" spans="1:32" x14ac:dyDescent="0.2">
      <c r="A12" s="74"/>
      <c r="B12" s="107" t="s">
        <v>187</v>
      </c>
      <c r="C12" s="109">
        <v>10</v>
      </c>
      <c r="D12" s="18">
        <f>IFERROR(C12/C8, "N/A")</f>
        <v>5.4945054945054944E-2</v>
      </c>
      <c r="E12" s="109">
        <v>2</v>
      </c>
      <c r="F12" s="18">
        <f>IFERROR(E12/E8, "N/A")</f>
        <v>0.4</v>
      </c>
      <c r="G12" s="110">
        <v>11</v>
      </c>
      <c r="H12" s="18">
        <f>IFERROR(G12/G8, "N/A")</f>
        <v>0.30555555555555558</v>
      </c>
      <c r="I12" s="110">
        <v>5</v>
      </c>
      <c r="J12" s="18">
        <f>IFERROR(I12/I8, "N/A")</f>
        <v>0.22727272727272727</v>
      </c>
      <c r="K12" s="9">
        <f>C12+E12+G12+I12</f>
        <v>28</v>
      </c>
      <c r="L12" s="18">
        <f>IFERROR(K12/K8, "N/A")</f>
        <v>0.11428571428571428</v>
      </c>
      <c r="N12" s="12"/>
      <c r="O12" s="12"/>
      <c r="P12" s="13"/>
      <c r="Q12" s="12"/>
      <c r="R12" s="13"/>
      <c r="S12" s="12"/>
      <c r="T12" s="14"/>
      <c r="U12" s="12"/>
      <c r="V12" s="14"/>
      <c r="W12" s="12"/>
      <c r="X12" s="14"/>
    </row>
    <row r="13" spans="1:32" x14ac:dyDescent="0.2">
      <c r="A13" s="74"/>
      <c r="B13" s="108" t="s">
        <v>188</v>
      </c>
      <c r="C13" s="109">
        <v>2</v>
      </c>
      <c r="D13" s="18">
        <f>IFERROR(C13/C8, "N/A")</f>
        <v>1.098901098901099E-2</v>
      </c>
      <c r="E13" s="109">
        <v>0</v>
      </c>
      <c r="F13" s="18">
        <f>IFERROR(E13/E8, "N/A")</f>
        <v>0</v>
      </c>
      <c r="G13" s="110">
        <v>0</v>
      </c>
      <c r="H13" s="18">
        <f>IFERROR(G13/G8, "N/A")</f>
        <v>0</v>
      </c>
      <c r="I13" s="110">
        <v>7</v>
      </c>
      <c r="J13" s="18">
        <f>IFERROR(I13/I8, "N/A")</f>
        <v>0.31818181818181818</v>
      </c>
      <c r="K13" s="9">
        <f>C13+E13+G13+I13</f>
        <v>9</v>
      </c>
      <c r="L13" s="18">
        <f>IFERROR(K13/K8, "N/A")</f>
        <v>3.6734693877551024E-2</v>
      </c>
      <c r="N13" s="12"/>
      <c r="O13" s="12"/>
      <c r="P13" s="13"/>
      <c r="Q13" s="12"/>
      <c r="R13" s="13"/>
      <c r="S13" s="12"/>
      <c r="T13" s="14"/>
      <c r="U13" s="12"/>
      <c r="V13" s="14"/>
      <c r="W13" s="12"/>
      <c r="X13" s="14"/>
    </row>
    <row r="14" spans="1:32" ht="15" customHeight="1" x14ac:dyDescent="0.2">
      <c r="A14" s="74" t="s">
        <v>50</v>
      </c>
      <c r="B14" s="105" t="s">
        <v>185</v>
      </c>
      <c r="C14" s="109">
        <v>80</v>
      </c>
      <c r="D14" s="18">
        <f t="shared" ref="D14:D21" si="3">IFERROR(C14/C10, "N/A")</f>
        <v>1</v>
      </c>
      <c r="E14" s="109">
        <v>0</v>
      </c>
      <c r="F14" s="18" t="str">
        <f t="shared" ref="F14:F21" si="4">IFERROR(E14/E10, "N/A")</f>
        <v>N/A</v>
      </c>
      <c r="G14" s="110">
        <v>0</v>
      </c>
      <c r="H14" s="18" t="str">
        <f t="shared" ref="H14:H21" si="5">IFERROR(G14/G10, "N/A")</f>
        <v>N/A</v>
      </c>
      <c r="I14" s="111">
        <v>5</v>
      </c>
      <c r="J14" s="18">
        <f t="shared" ref="J14:J21" si="6">IFERROR(I14/I10, "N/A")</f>
        <v>1</v>
      </c>
      <c r="K14" s="9">
        <f>SUM(C14,E14,G14,I14)</f>
        <v>85</v>
      </c>
      <c r="L14" s="18">
        <f t="shared" ref="L14:L21" si="7">IFERROR(K14/K10, "N/A")</f>
        <v>1</v>
      </c>
      <c r="N14" s="68" t="s">
        <v>93</v>
      </c>
      <c r="O14" s="112">
        <v>0</v>
      </c>
      <c r="P14" s="69">
        <f>IFERROR(O14/SUM(C14:C17), "N/A")</f>
        <v>0</v>
      </c>
      <c r="Q14" s="112">
        <v>0</v>
      </c>
      <c r="R14" s="69">
        <f>IFERROR(Q14/SUM(E14:E17), "N/A")</f>
        <v>0</v>
      </c>
      <c r="S14" s="112">
        <v>0</v>
      </c>
      <c r="T14" s="75">
        <f>IFERROR(S16/SUM(G14:G17), "N/A")</f>
        <v>0</v>
      </c>
      <c r="U14" s="112">
        <v>0</v>
      </c>
      <c r="V14" s="75">
        <f>IFERROR(U14/SUM(I14:I17), "N/A")</f>
        <v>0</v>
      </c>
      <c r="W14" s="79">
        <f>SUM(O14+Q14+S14+U14)</f>
        <v>0</v>
      </c>
      <c r="X14" s="75" cm="1">
        <f t="array" ref="X14">IFERROR(W14/SUM(C14:C17+ E14:E17 + G14:G17 + I14:I17), "N/A")</f>
        <v>0</v>
      </c>
    </row>
    <row r="15" spans="1:32" ht="20.25" customHeight="1" x14ac:dyDescent="0.2">
      <c r="A15" s="74"/>
      <c r="B15" s="106" t="s">
        <v>186</v>
      </c>
      <c r="C15" s="109">
        <v>90</v>
      </c>
      <c r="D15" s="18">
        <f t="shared" si="3"/>
        <v>1</v>
      </c>
      <c r="E15" s="109">
        <v>3</v>
      </c>
      <c r="F15" s="18">
        <f t="shared" si="4"/>
        <v>1</v>
      </c>
      <c r="G15" s="110">
        <v>20</v>
      </c>
      <c r="H15" s="18">
        <f t="shared" si="5"/>
        <v>1</v>
      </c>
      <c r="I15" s="110">
        <v>5</v>
      </c>
      <c r="J15" s="18">
        <f t="shared" si="6"/>
        <v>1</v>
      </c>
      <c r="K15" s="9">
        <f t="shared" ref="K15:K21" si="8">C15+E15+G15+I15</f>
        <v>118</v>
      </c>
      <c r="L15" s="18">
        <f t="shared" si="7"/>
        <v>1</v>
      </c>
      <c r="N15" s="68"/>
      <c r="O15" s="113"/>
      <c r="P15" s="70"/>
      <c r="Q15" s="113"/>
      <c r="R15" s="70"/>
      <c r="S15" s="113"/>
      <c r="T15" s="76"/>
      <c r="U15" s="113"/>
      <c r="V15" s="76"/>
      <c r="W15" s="80"/>
      <c r="X15" s="76"/>
    </row>
    <row r="16" spans="1:32" ht="14.5" customHeight="1" x14ac:dyDescent="0.2">
      <c r="A16" s="74"/>
      <c r="B16" s="107" t="s">
        <v>187</v>
      </c>
      <c r="C16" s="109">
        <v>9</v>
      </c>
      <c r="D16" s="18">
        <f t="shared" si="3"/>
        <v>0.9</v>
      </c>
      <c r="E16" s="109">
        <v>2</v>
      </c>
      <c r="F16" s="18">
        <f t="shared" si="4"/>
        <v>1</v>
      </c>
      <c r="G16" s="110">
        <v>10</v>
      </c>
      <c r="H16" s="18">
        <f t="shared" si="5"/>
        <v>0.90909090909090906</v>
      </c>
      <c r="I16" s="110">
        <v>5</v>
      </c>
      <c r="J16" s="18">
        <f t="shared" si="6"/>
        <v>1</v>
      </c>
      <c r="K16" s="9">
        <f t="shared" si="8"/>
        <v>26</v>
      </c>
      <c r="L16" s="18">
        <f t="shared" si="7"/>
        <v>0.9285714285714286</v>
      </c>
      <c r="N16" s="68"/>
      <c r="O16" s="113"/>
      <c r="P16" s="70"/>
      <c r="Q16" s="113"/>
      <c r="R16" s="70"/>
      <c r="S16" s="113"/>
      <c r="T16" s="76"/>
      <c r="U16" s="113"/>
      <c r="V16" s="76"/>
      <c r="W16" s="80"/>
      <c r="X16" s="76"/>
    </row>
    <row r="17" spans="1:24" ht="17.25" customHeight="1" x14ac:dyDescent="0.2">
      <c r="A17" s="74"/>
      <c r="B17" s="108" t="s">
        <v>188</v>
      </c>
      <c r="C17" s="109">
        <v>2</v>
      </c>
      <c r="D17" s="18">
        <f t="shared" si="3"/>
        <v>1</v>
      </c>
      <c r="E17" s="109">
        <v>0</v>
      </c>
      <c r="F17" s="18" t="str">
        <f t="shared" si="4"/>
        <v>N/A</v>
      </c>
      <c r="G17" s="110">
        <v>0</v>
      </c>
      <c r="H17" s="18" t="str">
        <f t="shared" si="5"/>
        <v>N/A</v>
      </c>
      <c r="I17" s="110">
        <v>7</v>
      </c>
      <c r="J17" s="18">
        <f t="shared" si="6"/>
        <v>1</v>
      </c>
      <c r="K17" s="9">
        <f t="shared" si="8"/>
        <v>9</v>
      </c>
      <c r="L17" s="18">
        <f t="shared" si="7"/>
        <v>1</v>
      </c>
      <c r="N17" s="68"/>
      <c r="O17" s="114"/>
      <c r="P17" s="71"/>
      <c r="Q17" s="114"/>
      <c r="R17" s="71"/>
      <c r="S17" s="114"/>
      <c r="T17" s="77"/>
      <c r="U17" s="114"/>
      <c r="V17" s="77"/>
      <c r="W17" s="82"/>
      <c r="X17" s="77"/>
    </row>
    <row r="18" spans="1:24" ht="17.25" customHeight="1" x14ac:dyDescent="0.2">
      <c r="A18" s="74" t="s">
        <v>56</v>
      </c>
      <c r="B18" s="105" t="s">
        <v>185</v>
      </c>
      <c r="C18" s="109">
        <v>80</v>
      </c>
      <c r="D18" s="18">
        <f t="shared" si="3"/>
        <v>1</v>
      </c>
      <c r="E18" s="109">
        <v>0</v>
      </c>
      <c r="F18" s="18" t="str">
        <f t="shared" si="4"/>
        <v>N/A</v>
      </c>
      <c r="G18" s="110">
        <v>0</v>
      </c>
      <c r="H18" s="18" t="str">
        <f t="shared" si="5"/>
        <v>N/A</v>
      </c>
      <c r="I18" s="111">
        <v>5</v>
      </c>
      <c r="J18" s="18">
        <f t="shared" si="6"/>
        <v>1</v>
      </c>
      <c r="K18" s="9">
        <f t="shared" si="8"/>
        <v>85</v>
      </c>
      <c r="L18" s="18">
        <f t="shared" si="7"/>
        <v>1</v>
      </c>
      <c r="N18" s="68" t="s">
        <v>99</v>
      </c>
      <c r="O18" s="112">
        <v>0</v>
      </c>
      <c r="P18" s="69">
        <f>IFERROR(O18/SUM(C18:C21), "N/A")</f>
        <v>0</v>
      </c>
      <c r="Q18" s="112">
        <v>0</v>
      </c>
      <c r="R18" s="69">
        <f>IFERROR(Q18/SUM(E18:E21), "N/A")</f>
        <v>0</v>
      </c>
      <c r="S18" s="112">
        <v>0</v>
      </c>
      <c r="T18" s="75">
        <f>IFERROR(S18/SUM(G18:G21), "N/A")</f>
        <v>0</v>
      </c>
      <c r="U18" s="112">
        <v>0</v>
      </c>
      <c r="V18" s="75">
        <f>IFERROR(U18/SUM(I18:I21), "N/A")</f>
        <v>0</v>
      </c>
      <c r="W18" s="79">
        <f>O18+Q18+S18+U18</f>
        <v>0</v>
      </c>
      <c r="X18" s="75" cm="1">
        <f t="array" ref="X18">IFERROR(W18/SUM(C18:C21+E18:E21+G18:G21+I18:I21), "N/A")</f>
        <v>0</v>
      </c>
    </row>
    <row r="19" spans="1:24" ht="17.25" customHeight="1" x14ac:dyDescent="0.2">
      <c r="A19" s="74"/>
      <c r="B19" s="106" t="s">
        <v>186</v>
      </c>
      <c r="C19" s="109">
        <v>90</v>
      </c>
      <c r="D19" s="18">
        <f t="shared" si="3"/>
        <v>1</v>
      </c>
      <c r="E19" s="109">
        <v>3</v>
      </c>
      <c r="F19" s="18">
        <f t="shared" si="4"/>
        <v>1</v>
      </c>
      <c r="G19" s="110">
        <v>20</v>
      </c>
      <c r="H19" s="18">
        <f t="shared" si="5"/>
        <v>1</v>
      </c>
      <c r="I19" s="110">
        <v>5</v>
      </c>
      <c r="J19" s="18">
        <f t="shared" si="6"/>
        <v>1</v>
      </c>
      <c r="K19" s="9">
        <f t="shared" si="8"/>
        <v>118</v>
      </c>
      <c r="L19" s="18">
        <f t="shared" si="7"/>
        <v>1</v>
      </c>
      <c r="N19" s="68"/>
      <c r="O19" s="113"/>
      <c r="P19" s="70"/>
      <c r="Q19" s="113"/>
      <c r="R19" s="70"/>
      <c r="S19" s="113"/>
      <c r="T19" s="76"/>
      <c r="U19" s="113"/>
      <c r="V19" s="76"/>
      <c r="W19" s="80"/>
      <c r="X19" s="76"/>
    </row>
    <row r="20" spans="1:24" ht="17.25" customHeight="1" x14ac:dyDescent="0.2">
      <c r="A20" s="74"/>
      <c r="B20" s="107" t="s">
        <v>187</v>
      </c>
      <c r="C20" s="109">
        <v>9</v>
      </c>
      <c r="D20" s="18">
        <f t="shared" si="3"/>
        <v>1</v>
      </c>
      <c r="E20" s="109">
        <v>2</v>
      </c>
      <c r="F20" s="18">
        <f t="shared" si="4"/>
        <v>1</v>
      </c>
      <c r="G20" s="110">
        <v>10</v>
      </c>
      <c r="H20" s="18">
        <f t="shared" si="5"/>
        <v>1</v>
      </c>
      <c r="I20" s="110">
        <v>5</v>
      </c>
      <c r="J20" s="18">
        <f t="shared" si="6"/>
        <v>1</v>
      </c>
      <c r="K20" s="9">
        <f t="shared" si="8"/>
        <v>26</v>
      </c>
      <c r="L20" s="18">
        <f t="shared" si="7"/>
        <v>1</v>
      </c>
      <c r="N20" s="68"/>
      <c r="O20" s="113"/>
      <c r="P20" s="70"/>
      <c r="Q20" s="113"/>
      <c r="R20" s="70"/>
      <c r="S20" s="113"/>
      <c r="T20" s="76"/>
      <c r="U20" s="113"/>
      <c r="V20" s="76"/>
      <c r="W20" s="80"/>
      <c r="X20" s="76"/>
    </row>
    <row r="21" spans="1:24" ht="17.25" customHeight="1" x14ac:dyDescent="0.2">
      <c r="A21" s="74"/>
      <c r="B21" s="108" t="s">
        <v>188</v>
      </c>
      <c r="C21" s="109">
        <v>2</v>
      </c>
      <c r="D21" s="18">
        <f t="shared" si="3"/>
        <v>1</v>
      </c>
      <c r="E21" s="109">
        <v>0</v>
      </c>
      <c r="F21" s="18" t="str">
        <f t="shared" si="4"/>
        <v>N/A</v>
      </c>
      <c r="G21" s="110">
        <v>0</v>
      </c>
      <c r="H21" s="18" t="str">
        <f t="shared" si="5"/>
        <v>N/A</v>
      </c>
      <c r="I21" s="110">
        <v>7</v>
      </c>
      <c r="J21" s="18">
        <f t="shared" si="6"/>
        <v>1</v>
      </c>
      <c r="K21" s="9">
        <f t="shared" si="8"/>
        <v>9</v>
      </c>
      <c r="L21" s="18">
        <f t="shared" si="7"/>
        <v>1</v>
      </c>
      <c r="N21" s="68"/>
      <c r="O21" s="115"/>
      <c r="P21" s="72"/>
      <c r="Q21" s="115"/>
      <c r="R21" s="72"/>
      <c r="S21" s="115"/>
      <c r="T21" s="78"/>
      <c r="U21" s="115"/>
      <c r="V21" s="78"/>
      <c r="W21" s="81"/>
      <c r="X21" s="78"/>
    </row>
    <row r="22" spans="1:24" ht="17.25" customHeight="1" x14ac:dyDescent="0.2">
      <c r="N22" s="17"/>
      <c r="P22" s="13"/>
      <c r="Q22" s="12"/>
      <c r="R22" s="13"/>
      <c r="S22" s="12"/>
      <c r="T22" s="14"/>
      <c r="U22" s="12"/>
      <c r="V22" s="14"/>
      <c r="W22" s="12"/>
      <c r="X22" s="14"/>
    </row>
    <row r="23" spans="1:24" ht="16" x14ac:dyDescent="0.2">
      <c r="N23" s="23" t="s">
        <v>105</v>
      </c>
      <c r="O23" s="109">
        <v>3</v>
      </c>
      <c r="P23" s="24">
        <f>IFERROR(O23/C7, "N/A")</f>
        <v>1.5625E-2</v>
      </c>
      <c r="Q23" s="109"/>
      <c r="R23" s="25">
        <f>IFERROR(Q23/E7, "N/A")</f>
        <v>0</v>
      </c>
      <c r="S23" s="109"/>
      <c r="T23" s="25">
        <f>IFERROR(S23/G7, "N/A")</f>
        <v>0</v>
      </c>
      <c r="U23" s="109"/>
      <c r="V23" s="25">
        <f>IFERROR(U23/I7, "N/A")</f>
        <v>0</v>
      </c>
      <c r="W23" s="8">
        <f>IFERROR(SUM(O23+Q23+S23+U23), "N/A")</f>
        <v>3</v>
      </c>
      <c r="X23" s="25">
        <f>IFERROR(W23/K7, "N/A")</f>
        <v>1.1538461538461539E-2</v>
      </c>
    </row>
    <row r="24" spans="1:24" ht="16" x14ac:dyDescent="0.2">
      <c r="N24" s="23" t="s">
        <v>111</v>
      </c>
      <c r="O24" s="109"/>
      <c r="P24" s="24">
        <f>IFERROR(O24/C7, "N/A")</f>
        <v>0</v>
      </c>
      <c r="Q24" s="109"/>
      <c r="R24" s="24">
        <f>IFERROR(Q24/E7, "N/A")</f>
        <v>0</v>
      </c>
      <c r="S24" s="109"/>
      <c r="T24" s="24">
        <f>IFERROR(S24/G7, "N/A")</f>
        <v>0</v>
      </c>
      <c r="U24" s="109"/>
      <c r="V24" s="24">
        <f>IFERROR(U24/I7, "N/A")</f>
        <v>0</v>
      </c>
      <c r="W24" s="8">
        <f>IFERROR(SUM(O24+Q24+S24+U24), "N/A")</f>
        <v>0</v>
      </c>
      <c r="X24" s="24">
        <f>IFERROR(W24/K7, "N/A")</f>
        <v>0</v>
      </c>
    </row>
    <row r="25" spans="1:24" ht="16" x14ac:dyDescent="0.2">
      <c r="N25" s="23" t="s">
        <v>117</v>
      </c>
      <c r="O25" s="109"/>
      <c r="P25" s="24">
        <f>IFERROR(O25/C7, "N/A")</f>
        <v>0</v>
      </c>
      <c r="Q25" s="109"/>
      <c r="R25" s="24">
        <f>IFERROR(Q25/E7, "N/A")</f>
        <v>0</v>
      </c>
      <c r="S25" s="109"/>
      <c r="T25" s="24">
        <f>IFERROR(S25/G7, "N/A")</f>
        <v>0</v>
      </c>
      <c r="U25" s="109"/>
      <c r="V25" s="24">
        <f>IFERROR(U25/I7, "N/A")</f>
        <v>0</v>
      </c>
      <c r="W25" s="8">
        <f>IFERROR(SUM(O25+Q25+S25+U25), "N/A")</f>
        <v>0</v>
      </c>
      <c r="X25" s="24">
        <f>IFERROR(W25/K8, "N/A")</f>
        <v>0</v>
      </c>
    </row>
    <row r="26" spans="1:24" ht="16" x14ac:dyDescent="0.2">
      <c r="N26" s="23" t="s">
        <v>123</v>
      </c>
      <c r="O26" s="109"/>
      <c r="P26" s="24">
        <f>IFERROR(O26/C7, "N/A")</f>
        <v>0</v>
      </c>
      <c r="Q26" s="109"/>
      <c r="R26" s="24">
        <f>IFERROR(Q26/E7, "N/A")</f>
        <v>0</v>
      </c>
      <c r="S26" s="109"/>
      <c r="T26" s="24">
        <f>IFERROR(S26/G7, "N/A")</f>
        <v>0</v>
      </c>
      <c r="U26" s="109"/>
      <c r="V26" s="24">
        <f>IFERROR(U26/I7, "N/A")</f>
        <v>0</v>
      </c>
      <c r="W26" s="8">
        <f>IFERROR(SUM(O26+Q26+S26+U26), "N/A")</f>
        <v>0</v>
      </c>
      <c r="X26" s="24">
        <f>IFERROR(W26/K9, "N/A")</f>
        <v>0</v>
      </c>
    </row>
    <row r="27" spans="1:24" ht="32" x14ac:dyDescent="0.2">
      <c r="N27" s="23" t="s">
        <v>189</v>
      </c>
      <c r="O27" s="109"/>
      <c r="P27" s="24">
        <f>IFERROR(O27/C7, "N/A")</f>
        <v>0</v>
      </c>
      <c r="Q27" s="109"/>
      <c r="R27" s="24">
        <f>IFERROR(Q27/E7, "N/A")</f>
        <v>0</v>
      </c>
      <c r="S27" s="109"/>
      <c r="T27" s="24">
        <f>IFERROR(S27/G7, "N/A")</f>
        <v>0</v>
      </c>
      <c r="U27" s="109"/>
      <c r="V27" s="24">
        <f>IFERROR(U27/I7, "N/A")</f>
        <v>0</v>
      </c>
      <c r="W27" s="8">
        <f>IFERROR(SUM(O27+Q27+S27+U27), "N/A")</f>
        <v>0</v>
      </c>
      <c r="X27" s="24">
        <f>IFERROR(W27/K10, "N/A")</f>
        <v>0</v>
      </c>
    </row>
    <row r="28" spans="1:24" x14ac:dyDescent="0.2"/>
    <row r="30" spans="1:24" x14ac:dyDescent="0.2"/>
    <row r="35" spans="2:2" x14ac:dyDescent="0.2">
      <c r="B35" s="15"/>
    </row>
    <row r="36" spans="2:2" x14ac:dyDescent="0.2">
      <c r="B36" s="15"/>
    </row>
    <row r="37" spans="2:2" x14ac:dyDescent="0.2">
      <c r="B37" s="11"/>
    </row>
    <row r="39" spans="2:2" x14ac:dyDescent="0.2">
      <c r="B39" s="15"/>
    </row>
  </sheetData>
  <mergeCells count="38">
    <mergeCell ref="A4:B4"/>
    <mergeCell ref="A6:B6"/>
    <mergeCell ref="X14:X17"/>
    <mergeCell ref="S18:S21"/>
    <mergeCell ref="T18:T21"/>
    <mergeCell ref="U18:U21"/>
    <mergeCell ref="V18:V21"/>
    <mergeCell ref="W18:W21"/>
    <mergeCell ref="X18:X21"/>
    <mergeCell ref="T14:T17"/>
    <mergeCell ref="V14:V17"/>
    <mergeCell ref="S14:S17"/>
    <mergeCell ref="U14:U17"/>
    <mergeCell ref="W14:W17"/>
    <mergeCell ref="R18:R21"/>
    <mergeCell ref="A18:A21"/>
    <mergeCell ref="A5:B5"/>
    <mergeCell ref="A7:B7"/>
    <mergeCell ref="A8:B8"/>
    <mergeCell ref="A9:B9"/>
    <mergeCell ref="A14:A17"/>
    <mergeCell ref="A10:A13"/>
    <mergeCell ref="AE6:AF6"/>
    <mergeCell ref="W2:X2"/>
    <mergeCell ref="N4:W4"/>
    <mergeCell ref="N14:N17"/>
    <mergeCell ref="N18:N21"/>
    <mergeCell ref="O2:P2"/>
    <mergeCell ref="Q2:R2"/>
    <mergeCell ref="S2:T2"/>
    <mergeCell ref="U2:V2"/>
    <mergeCell ref="O14:O17"/>
    <mergeCell ref="O18:O21"/>
    <mergeCell ref="P14:P17"/>
    <mergeCell ref="P18:P21"/>
    <mergeCell ref="Q14:Q17"/>
    <mergeCell ref="Q18:Q21"/>
    <mergeCell ref="R14:R17"/>
  </mergeCells>
  <hyperlinks>
    <hyperlink ref="A5:B5" location="'Instructions'!C3" display="Signals that passed triage " xr:uid="{2AB09B1D-8EC0-4AC3-BE15-BA25B83FD4A5}"/>
    <hyperlink ref="A7:B7" location="'Instructions'!C5" display="Signals verified as events" xr:uid="{A50F0E4C-AF30-4AE0-A8C3-357A3CE748CC}"/>
    <hyperlink ref="A8:B8" location="'Instructions'!C6" display="Events that undergo risk assessment" xr:uid="{DC2EBF1A-6C98-4D3E-BA10-77D7B9F9B01F}"/>
    <hyperlink ref="A10:A13" location="'Instructions'!C8" display="Events characterized by risk level" xr:uid="{72C73C91-71AA-4807-8A65-9C78D3FDC31E}"/>
    <hyperlink ref="A9:B9" location="'Instructions'!C7" display="Events that did not undergo risk assessment " xr:uid="{20842208-1184-4850-9536-CF0AECBB3C66}"/>
    <hyperlink ref="A14:A17" location="'Instructions'!C9" display="Events where an alert was issued" xr:uid="{E2950F72-E972-4D0C-B370-41B7A0B54C46}"/>
    <hyperlink ref="N5" location="'Instructions'!C12" display=" Signals reported with reported date present" xr:uid="{F2B249DE-D2B6-4F21-8013-C2BF4062FAEB}"/>
    <hyperlink ref="N6" location="'Instructions'!C13" display="Signals that underwent triage with triage date present" xr:uid="{20AD00E1-F085-4C31-8BB8-351FF79CF960}"/>
    <hyperlink ref="N7" location="'Instructions'!C14" display="Triaged signals that underwent verification with verification date present" xr:uid="{2454EB29-0DFB-4C11-A6EE-D21C5EC03AA7}"/>
    <hyperlink ref="N8" location="'Instructions'!C15" display="Events that underwent risk assessment with risk assessment date present" xr:uid="{12949F21-AE8A-43B9-B2DC-6C13D9E79118}"/>
    <hyperlink ref="N14:N17" location="'Instructions'!C16" display="Events assessed where an alert for response was issued with alert date present" xr:uid="{A9E6CF69-1085-4FDA-9757-2E7E4351BDB8}"/>
    <hyperlink ref="N18:N21" location="'Instructions'!C17" display="Events where an alert for response was issued and responded to where date of first response is present" xr:uid="{136EABC3-AD6A-44BD-8679-4FF1DFD28D00}"/>
    <hyperlink ref="N23" location="'Instructions'!C18" display="Events reported with location specified" xr:uid="{A3069EE4-F0AD-4E2F-B11A-B73DDB75C510}"/>
    <hyperlink ref="N24" location="'Instructions'!C19" display="Events reported with source specified" xr:uid="{F1BE0901-9AAA-427F-8E9E-A1581AB40A37}"/>
    <hyperlink ref="N25" location="'Instructions'!C20" display="Events reported with completed description" xr:uid="{67E990DE-1632-4DF7-BEBD-14A1AD405363}"/>
    <hyperlink ref="N26" location="'Instructions'!C21" display="Events reported with all data fields complete" xr:uid="{A3B6125D-CD59-46B7-988F-1F101B9FDE64}"/>
    <hyperlink ref="N27" location="'Instructions'!C22" display="Percent of events with  ≥ 90% of all fields complete" xr:uid="{E08F1104-F4F2-45F2-951C-97C94180A980}"/>
    <hyperlink ref="A18:A21" location="'Instructions'!C10" display="Events assessed where an alert for response was issued and responded to" xr:uid="{D9817FBD-B664-42DD-85B0-970FE4AC9663}"/>
    <hyperlink ref="Z5" location="'Instructions'!C11" display="Sites Reporting" xr:uid="{FC0BBC4D-CBA1-4F57-913A-83B05D5A3F29}"/>
    <hyperlink ref="A4:B4" location="'Instructions'!C2" display="Signals Detected" xr:uid="{B154C0B5-F640-41A2-8C99-CBBBFE7C0FDF}"/>
    <hyperlink ref="A6:B6" location="'Instructions'!C4" display="Signals undergoing verification" xr:uid="{94FEE0CE-694C-4A78-9CA7-CF3CF93D08EE}"/>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2415E-8798-470D-9045-DA9B2311229F}">
  <sheetPr>
    <tabColor rgb="FF92D050"/>
  </sheetPr>
  <dimension ref="A1:O19"/>
  <sheetViews>
    <sheetView tabSelected="1" zoomScale="126" zoomScaleNormal="126" workbookViewId="0">
      <selection activeCell="A27" sqref="A27"/>
    </sheetView>
  </sheetViews>
  <sheetFormatPr baseColWidth="10" defaultColWidth="8.83203125" defaultRowHeight="15" x14ac:dyDescent="0.2"/>
  <cols>
    <col min="1" max="1" width="68.5" customWidth="1"/>
    <col min="4" max="4" width="12" customWidth="1"/>
    <col min="13" max="13" width="26.83203125" customWidth="1"/>
  </cols>
  <sheetData>
    <row r="1" spans="1:15" ht="16" x14ac:dyDescent="0.2">
      <c r="A1" s="1" t="s">
        <v>135</v>
      </c>
    </row>
    <row r="2" spans="1:15" x14ac:dyDescent="0.2">
      <c r="B2" s="83" t="s">
        <v>174</v>
      </c>
      <c r="C2" s="84"/>
      <c r="D2" s="83" t="s">
        <v>175</v>
      </c>
      <c r="E2" s="84"/>
      <c r="F2" s="83" t="s">
        <v>176</v>
      </c>
      <c r="G2" s="84"/>
      <c r="H2" s="83" t="s">
        <v>177</v>
      </c>
      <c r="I2" s="84"/>
      <c r="J2" s="83" t="s">
        <v>178</v>
      </c>
      <c r="K2" s="84"/>
    </row>
    <row r="3" spans="1:15" x14ac:dyDescent="0.2">
      <c r="B3" s="2" t="s">
        <v>179</v>
      </c>
      <c r="C3" s="3" t="s">
        <v>180</v>
      </c>
      <c r="D3" s="2" t="s">
        <v>179</v>
      </c>
      <c r="E3" s="3" t="s">
        <v>180</v>
      </c>
      <c r="F3" s="2" t="s">
        <v>179</v>
      </c>
      <c r="G3" s="3" t="s">
        <v>180</v>
      </c>
      <c r="H3" s="2" t="s">
        <v>179</v>
      </c>
      <c r="I3" s="3" t="s">
        <v>180</v>
      </c>
      <c r="J3" s="2" t="s">
        <v>179</v>
      </c>
      <c r="K3" s="3" t="s">
        <v>180</v>
      </c>
    </row>
    <row r="4" spans="1:15" ht="14.5" customHeight="1" x14ac:dyDescent="0.2">
      <c r="A4" s="26" t="str">
        <f>"Region "&amp;COUNTIF($A$1:A1,"Region*")+1</f>
        <v>Region 1</v>
      </c>
      <c r="B4" s="27"/>
      <c r="C4" s="27"/>
      <c r="D4" s="27"/>
      <c r="E4" s="27"/>
      <c r="F4" s="27"/>
      <c r="G4" s="27"/>
      <c r="H4" s="27"/>
      <c r="I4" s="27"/>
      <c r="J4" s="28"/>
      <c r="K4" s="29"/>
    </row>
    <row r="5" spans="1:15" ht="15" customHeight="1" x14ac:dyDescent="0.2">
      <c r="A5" s="19" t="s">
        <v>136</v>
      </c>
      <c r="B5" s="94">
        <f>'Process and Completeness'!C7</f>
        <v>192</v>
      </c>
      <c r="C5" s="30"/>
      <c r="D5" s="94">
        <f>'Process and Completeness'!E7</f>
        <v>5</v>
      </c>
      <c r="E5" s="95"/>
      <c r="F5" s="94">
        <f>'Process and Completeness'!G5</f>
        <v>55</v>
      </c>
      <c r="G5" s="95"/>
      <c r="H5" s="94">
        <v>30</v>
      </c>
      <c r="I5" s="95"/>
      <c r="J5" s="94">
        <f>SUM(B5+D5+F5+H5)</f>
        <v>282</v>
      </c>
      <c r="K5" s="87"/>
      <c r="M5" s="85" t="s">
        <v>190</v>
      </c>
    </row>
    <row r="6" spans="1:15" x14ac:dyDescent="0.2">
      <c r="A6" s="19" t="s">
        <v>142</v>
      </c>
      <c r="B6" s="89">
        <v>180</v>
      </c>
      <c r="C6" s="96">
        <f>IFERROR(B6/B5, "N/A")</f>
        <v>0.9375</v>
      </c>
      <c r="D6" s="89">
        <v>5</v>
      </c>
      <c r="E6" s="96">
        <f>IFERROR(D6/D5, "N/A")</f>
        <v>1</v>
      </c>
      <c r="F6" s="89">
        <v>40</v>
      </c>
      <c r="G6" s="96">
        <f>IFERROR(F6/F5, "N/A")</f>
        <v>0.72727272727272729</v>
      </c>
      <c r="H6" s="89">
        <v>30</v>
      </c>
      <c r="I6" s="96">
        <f>IFERROR(H6/H5, "N/A")</f>
        <v>1</v>
      </c>
      <c r="J6" s="94">
        <f>SUM(B6+D6+F6+H6)</f>
        <v>255</v>
      </c>
      <c r="K6" s="96">
        <f>IFERROR(J6/J5, "N/A")</f>
        <v>0.9042553191489362</v>
      </c>
      <c r="M6" s="85"/>
    </row>
    <row r="7" spans="1:15" x14ac:dyDescent="0.2">
      <c r="B7" s="86"/>
      <c r="C7" s="97"/>
      <c r="D7" s="86"/>
      <c r="E7" s="87"/>
      <c r="F7" s="86"/>
      <c r="G7" s="87"/>
      <c r="H7" s="86"/>
      <c r="I7" s="97"/>
      <c r="J7" s="98"/>
      <c r="K7" s="97"/>
      <c r="M7" s="85"/>
    </row>
    <row r="8" spans="1:15" x14ac:dyDescent="0.2">
      <c r="A8" s="20" t="s">
        <v>148</v>
      </c>
      <c r="B8" s="90">
        <v>5</v>
      </c>
      <c r="C8" s="99">
        <f>IFERROR(B8/B$6,"N/A")</f>
        <v>2.7777777777777776E-2</v>
      </c>
      <c r="D8" s="102">
        <v>2</v>
      </c>
      <c r="E8" s="103">
        <f>IFERROR(D8/D$6,"N/A")</f>
        <v>0.4</v>
      </c>
      <c r="F8" s="102">
        <v>10</v>
      </c>
      <c r="G8" s="103">
        <f>IFERROR(F8/$F$6,"N/A")</f>
        <v>0.25</v>
      </c>
      <c r="H8" s="90">
        <v>12</v>
      </c>
      <c r="I8" s="99">
        <f>IFERROR(H8/$H$6,"N/A")</f>
        <v>0.4</v>
      </c>
      <c r="J8" s="100">
        <f>SUM(B8+D8+F8+H8)</f>
        <v>29</v>
      </c>
      <c r="K8" s="99">
        <f>IFERROR(J8/$J$6,"N/A")</f>
        <v>0.11372549019607843</v>
      </c>
      <c r="M8" s="85"/>
    </row>
    <row r="9" spans="1:15" x14ac:dyDescent="0.2">
      <c r="B9" s="86"/>
      <c r="C9" s="97"/>
      <c r="D9" s="102"/>
      <c r="E9" s="103"/>
      <c r="F9" s="102"/>
      <c r="G9" s="103"/>
      <c r="H9" s="86"/>
      <c r="I9" s="97"/>
      <c r="J9" s="98"/>
      <c r="K9" s="97"/>
      <c r="M9" s="85"/>
    </row>
    <row r="10" spans="1:15" x14ac:dyDescent="0.2">
      <c r="A10" s="21" t="s">
        <v>154</v>
      </c>
      <c r="B10" s="91">
        <v>14</v>
      </c>
      <c r="C10" s="99">
        <f>IFERROR(B10/$B$6,"N/A")</f>
        <v>7.7777777777777779E-2</v>
      </c>
      <c r="D10" s="104">
        <v>2</v>
      </c>
      <c r="E10" s="103">
        <f>IFERROR(D10/D$6,"N/A")</f>
        <v>0.4</v>
      </c>
      <c r="F10" s="102">
        <v>20</v>
      </c>
      <c r="G10" s="103">
        <f>IFERROR(F10/$F$6,"N/A")</f>
        <v>0.5</v>
      </c>
      <c r="H10" s="90">
        <v>22</v>
      </c>
      <c r="I10" s="99">
        <f>IFERROR(H10/J10,"N/A")</f>
        <v>0.37931034482758619</v>
      </c>
      <c r="J10" s="100">
        <f>SUM(B10+D10+F10+H10)</f>
        <v>58</v>
      </c>
      <c r="K10" s="99">
        <f>IFERROR(J10/$J$6,"N/A")</f>
        <v>0.22745098039215686</v>
      </c>
      <c r="M10" s="85"/>
    </row>
    <row r="11" spans="1:15" x14ac:dyDescent="0.2">
      <c r="B11" s="88"/>
      <c r="C11" s="97"/>
      <c r="D11" s="104"/>
      <c r="E11" s="103"/>
      <c r="F11" s="102"/>
      <c r="G11" s="103"/>
      <c r="H11" s="92"/>
      <c r="I11" s="97"/>
      <c r="J11" s="98"/>
      <c r="K11" s="97"/>
      <c r="M11" s="85"/>
    </row>
    <row r="12" spans="1:15" x14ac:dyDescent="0.2">
      <c r="A12" s="20" t="s">
        <v>159</v>
      </c>
      <c r="B12" s="91">
        <v>12</v>
      </c>
      <c r="C12" s="99">
        <f>IFERROR(B12/$B$6,"N/A")</f>
        <v>6.6666666666666666E-2</v>
      </c>
      <c r="D12" s="104">
        <v>2</v>
      </c>
      <c r="E12" s="103">
        <f>IFERROR(D12/D$6,"N/A")</f>
        <v>0.4</v>
      </c>
      <c r="F12" s="102">
        <v>20</v>
      </c>
      <c r="G12" s="103">
        <f>IFERROR(F12/$F$6,"N/A")</f>
        <v>0.5</v>
      </c>
      <c r="H12" s="93">
        <v>14</v>
      </c>
      <c r="I12" s="99">
        <f>IFERROR(H12/$H$6,"N/A")</f>
        <v>0.46666666666666667</v>
      </c>
      <c r="J12" s="100">
        <f>SUM(B12+D12+F12+H12)</f>
        <v>48</v>
      </c>
      <c r="K12" s="99">
        <f>IFERROR(J12/$J$6,"N/A")</f>
        <v>0.18823529411764706</v>
      </c>
      <c r="M12" s="85"/>
    </row>
    <row r="13" spans="1:15" x14ac:dyDescent="0.2">
      <c r="B13" s="88"/>
      <c r="C13" s="101"/>
      <c r="D13" s="104"/>
      <c r="E13" s="104"/>
      <c r="F13" s="104"/>
      <c r="G13" s="104"/>
      <c r="H13" s="88"/>
      <c r="I13" s="101"/>
      <c r="J13" s="101"/>
      <c r="K13" s="101"/>
      <c r="M13" s="85"/>
    </row>
    <row r="14" spans="1:15" x14ac:dyDescent="0.2">
      <c r="A14" s="22" t="s">
        <v>164</v>
      </c>
      <c r="B14" s="91">
        <v>14</v>
      </c>
      <c r="C14" s="99">
        <f>IFERROR(B14/$B$6,"N/A")</f>
        <v>7.7777777777777779E-2</v>
      </c>
      <c r="D14" s="104">
        <v>1</v>
      </c>
      <c r="E14" s="103">
        <f>IFERROR(D14/D$6,"N/A")</f>
        <v>0.2</v>
      </c>
      <c r="F14" s="104">
        <v>2</v>
      </c>
      <c r="G14" s="103">
        <f>IFERROR(F14/$F$6,"N/A")</f>
        <v>0.05</v>
      </c>
      <c r="H14" s="91">
        <v>14</v>
      </c>
      <c r="I14" s="99">
        <f>IFERROR(H14/$H$6,"N/A")</f>
        <v>0.46666666666666667</v>
      </c>
      <c r="J14" s="100">
        <f>SUM(B14+D14+F14+H14)</f>
        <v>31</v>
      </c>
      <c r="K14" s="99">
        <f>IFERROR(J14/$J$6,"N/A")</f>
        <v>0.12156862745098039</v>
      </c>
      <c r="M14" s="85"/>
      <c r="N14">
        <v>30</v>
      </c>
      <c r="O14" t="s">
        <v>191</v>
      </c>
    </row>
    <row r="15" spans="1:15" x14ac:dyDescent="0.2">
      <c r="B15" s="88"/>
      <c r="C15" s="101"/>
      <c r="D15" s="104"/>
      <c r="E15" s="104"/>
      <c r="F15" s="104"/>
      <c r="G15" s="104"/>
      <c r="H15" s="88"/>
      <c r="I15" s="101"/>
      <c r="J15" s="101"/>
      <c r="K15" s="101"/>
      <c r="M15" s="85"/>
      <c r="N15" s="31">
        <v>0.8</v>
      </c>
      <c r="O15" t="s">
        <v>192</v>
      </c>
    </row>
    <row r="16" spans="1:15" x14ac:dyDescent="0.2">
      <c r="A16" s="21" t="s">
        <v>169</v>
      </c>
      <c r="B16" s="91">
        <v>15</v>
      </c>
      <c r="C16" s="99">
        <f>IFERROR(B16/$B$6,"N/A")</f>
        <v>8.3333333333333329E-2</v>
      </c>
      <c r="D16" s="104">
        <v>2</v>
      </c>
      <c r="E16" s="103">
        <f>IFERROR(D16/D$6,"N/A")</f>
        <v>0.4</v>
      </c>
      <c r="F16" s="104">
        <v>2</v>
      </c>
      <c r="G16" s="103">
        <f>IFERROR(F16/$F$6,"N/A")</f>
        <v>0.05</v>
      </c>
      <c r="H16" s="91">
        <v>10</v>
      </c>
      <c r="I16" s="99">
        <f>IFERROR(H16/$H$6,"N/A")</f>
        <v>0.33333333333333331</v>
      </c>
      <c r="J16" s="100">
        <f>SUM(B16+D16+F16+H16)</f>
        <v>29</v>
      </c>
      <c r="K16" s="99">
        <f>IFERROR(J16/$J$6,"N/A")</f>
        <v>0.11372549019607843</v>
      </c>
      <c r="M16" s="46"/>
    </row>
    <row r="19" ht="15" customHeight="1" x14ac:dyDescent="0.2"/>
  </sheetData>
  <mergeCells count="6">
    <mergeCell ref="J2:K2"/>
    <mergeCell ref="M5:M15"/>
    <mergeCell ref="B2:C2"/>
    <mergeCell ref="D2:E2"/>
    <mergeCell ref="F2:G2"/>
    <mergeCell ref="H2:I2"/>
  </mergeCells>
  <conditionalFormatting sqref="B8:C16">
    <cfRule type="expression" dxfId="10" priority="19">
      <formula>OR($B$6&lt;$N$14,$C$6&lt;$N$15)</formula>
    </cfRule>
  </conditionalFormatting>
  <conditionalFormatting sqref="H8:I16">
    <cfRule type="expression" dxfId="7" priority="22">
      <formula>OR($H$6&lt;$N$14,$I$6&lt;$N$15)</formula>
    </cfRule>
  </conditionalFormatting>
  <conditionalFormatting sqref="J8:K16">
    <cfRule type="expression" dxfId="6" priority="23">
      <formula>OR($J$6&lt;$N$14,$K$6&lt;$N$15)</formula>
    </cfRule>
  </conditionalFormatting>
  <hyperlinks>
    <hyperlink ref="A5" location="'Instructions'!C22" display="Total Confirmed Events" xr:uid="{965DA2E1-88ED-49C9-AAA7-95CF97EE8F8B}"/>
    <hyperlink ref="A6" location="'Instructions'!C23" display="Confirmed Events with Complete Dates" xr:uid="{71BB5D91-2302-4D8D-8583-454B4327C6B0}"/>
    <hyperlink ref="A8" location="'Instructions'!C24" display="Timely Event Detection" xr:uid="{2D1D9E04-1E2F-4746-BA95-F07EF3CD831D}"/>
    <hyperlink ref="A10" location="'Instructions'!C25" display="Timely Event Verification" xr:uid="{8DEDA1EC-B83C-4866-9091-B11BC53DBF7B}"/>
    <hyperlink ref="A12" location="'Instructions'!A26" display="Timely Risk Assessment for Events" xr:uid="{AEB75535-7570-46F2-8F52-3ED75A38CC28}"/>
    <hyperlink ref="A14" location="'Instructions'!A27" display="Timely Event Notification/Alert" xr:uid="{381CF95A-4776-4615-9937-F84C8EC7E7E3}"/>
    <hyperlink ref="A16" location="'Instructions'!A28" display="Timely Initial Effective Response" xr:uid="{BB48FAF9-D5D9-4B49-8482-B2D5A5E970D9}"/>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f85f550-dda7-4907-9bf8-7b2c2d3501c2">
      <Terms xmlns="http://schemas.microsoft.com/office/infopath/2007/PartnerControls"/>
    </lcf76f155ced4ddcb4097134ff3c332f>
    <TaxCatchAll xmlns="fd0ce572-c2bb-42aa-ade2-d794e1c3f72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8DFC3974F56844295E420FE765DA9E6" ma:contentTypeVersion="15" ma:contentTypeDescription="Create a new document." ma:contentTypeScope="" ma:versionID="6504a4ed6dfc64c67a41e771fb36c97a">
  <xsd:schema xmlns:xsd="http://www.w3.org/2001/XMLSchema" xmlns:xs="http://www.w3.org/2001/XMLSchema" xmlns:p="http://schemas.microsoft.com/office/2006/metadata/properties" xmlns:ns2="df85f550-dda7-4907-9bf8-7b2c2d3501c2" xmlns:ns3="fd0ce572-c2bb-42aa-ade2-d794e1c3f729" targetNamespace="http://schemas.microsoft.com/office/2006/metadata/properties" ma:root="true" ma:fieldsID="8926f7584dd7925709710433db666ffc" ns2:_="" ns3:_="">
    <xsd:import namespace="df85f550-dda7-4907-9bf8-7b2c2d3501c2"/>
    <xsd:import namespace="fd0ce572-c2bb-42aa-ade2-d794e1c3f72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85f550-dda7-4907-9bf8-7b2c2d3501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9353dbe8-8260-4ccf-8219-3d2995e6fa15"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Location" ma:index="22"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0ce572-c2bb-42aa-ade2-d794e1c3f72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5" nillable="true" ma:displayName="Taxonomy Catch All Column" ma:hidden="true" ma:list="{f8f0221f-f3b3-47a4-becd-fb9dfa34b3ec}" ma:internalName="TaxCatchAll" ma:showField="CatchAllData" ma:web="fd0ce572-c2bb-42aa-ade2-d794e1c3f7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402957-222D-47E5-ADF9-5F1C9F6C5385}">
  <ds:schemaRefs>
    <ds:schemaRef ds:uri="http://schemas.microsoft.com/sharepoint/v3/contenttype/forms"/>
  </ds:schemaRefs>
</ds:datastoreItem>
</file>

<file path=customXml/itemProps2.xml><?xml version="1.0" encoding="utf-8"?>
<ds:datastoreItem xmlns:ds="http://schemas.openxmlformats.org/officeDocument/2006/customXml" ds:itemID="{9EF9351C-658F-47BE-8E1D-C7871E0CF9AA}">
  <ds:schemaRefs>
    <ds:schemaRef ds:uri="http://schemas.microsoft.com/office/2006/metadata/properties"/>
    <ds:schemaRef ds:uri="http://schemas.microsoft.com/office/infopath/2007/PartnerControls"/>
    <ds:schemaRef ds:uri="df85f550-dda7-4907-9bf8-7b2c2d3501c2"/>
    <ds:schemaRef ds:uri="fd0ce572-c2bb-42aa-ade2-d794e1c3f729"/>
  </ds:schemaRefs>
</ds:datastoreItem>
</file>

<file path=customXml/itemProps3.xml><?xml version="1.0" encoding="utf-8"?>
<ds:datastoreItem xmlns:ds="http://schemas.openxmlformats.org/officeDocument/2006/customXml" ds:itemID="{76BF6F2D-EE13-481F-A292-A7E25D7C960D}"/>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Process and Completeness</vt:lpstr>
      <vt:lpstr>Timeliness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Svendsen, Kerstin</cp:lastModifiedBy>
  <cp:revision/>
  <dcterms:created xsi:type="dcterms:W3CDTF">2025-02-03T14:51:02Z</dcterms:created>
  <dcterms:modified xsi:type="dcterms:W3CDTF">2025-11-18T17:52:03Z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0x01010018DFC3974F56844295E420FE765DA9E6</vt:lpwstr>
  </property>
  <property fmtid="{D5CDD505-2E9C-101B-9397-08002B2CF9AE}" pid="3" name="MSIP_Label_7b94a7b8-f06c-4dfe-bdcc-9b548fd58c31_Enabled">
    <vt:lpwstr>true</vt:lpwstr>
  </property>
  <property fmtid="{D5CDD505-2E9C-101B-9397-08002B2CF9AE}" pid="4" name="MSIP_Label_7b94a7b8-f06c-4dfe-bdcc-9b548fd58c31_SetDate">
    <vt:lpwstr>2025-02-03T14:51:20Z</vt:lpwstr>
  </property>
  <property fmtid="{D5CDD505-2E9C-101B-9397-08002B2CF9AE}" pid="5" name="MSIP_Label_7b94a7b8-f06c-4dfe-bdcc-9b548fd58c31_Method">
    <vt:lpwstr>Privileged</vt:lpwstr>
  </property>
  <property fmtid="{D5CDD505-2E9C-101B-9397-08002B2CF9AE}" pid="6" name="MSIP_Label_7b94a7b8-f06c-4dfe-bdcc-9b548fd58c31_Name">
    <vt:lpwstr>7b94a7b8-f06c-4dfe-bdcc-9b548fd58c31</vt:lpwstr>
  </property>
  <property fmtid="{D5CDD505-2E9C-101B-9397-08002B2CF9AE}" pid="7" name="MSIP_Label_7b94a7b8-f06c-4dfe-bdcc-9b548fd58c31_SiteId">
    <vt:lpwstr>9ce70869-60db-44fd-abe8-d2767077fc8f</vt:lpwstr>
  </property>
  <property fmtid="{D5CDD505-2E9C-101B-9397-08002B2CF9AE}" pid="8" name="MSIP_Label_7b94a7b8-f06c-4dfe-bdcc-9b548fd58c31_ActionId">
    <vt:lpwstr>5c35fd5a-c332-4dc0-9e58-4f1458b25ab4</vt:lpwstr>
  </property>
  <property fmtid="{D5CDD505-2E9C-101B-9397-08002B2CF9AE}" pid="9" name="MSIP_Label_7b94a7b8-f06c-4dfe-bdcc-9b548fd58c31_ContentBits">
    <vt:lpwstr>0</vt:lpwstr>
  </property>
  <property fmtid="{D5CDD505-2E9C-101B-9397-08002B2CF9AE}" pid="10" name="MSIP_Label_7b94a7b8-f06c-4dfe-bdcc-9b548fd58c31_Tag">
    <vt:lpwstr>10, 0, 1, 2</vt:lpwstr>
  </property>
  <property fmtid="{D5CDD505-2E9C-101B-9397-08002B2CF9AE}" pid="11" name="xd_ProgID">
    <vt:lpwstr/>
  </property>
  <property fmtid="{D5CDD505-2E9C-101B-9397-08002B2CF9AE}" pid="12" name="MediaServiceImageTags">
    <vt:lpwstr/>
  </property>
  <property fmtid="{D5CDD505-2E9C-101B-9397-08002B2CF9AE}" pid="13" name="ComplianceAssetId">
    <vt:lpwstr/>
  </property>
  <property fmtid="{D5CDD505-2E9C-101B-9397-08002B2CF9AE}" pid="14" name="TemplateUrl">
    <vt:lpwstr/>
  </property>
  <property fmtid="{D5CDD505-2E9C-101B-9397-08002B2CF9AE}" pid="15" name="_ExtendedDescription">
    <vt:lpwstr/>
  </property>
  <property fmtid="{D5CDD505-2E9C-101B-9397-08002B2CF9AE}" pid="16" name="TriggerFlowInfo">
    <vt:lpwstr/>
  </property>
  <property fmtid="{D5CDD505-2E9C-101B-9397-08002B2CF9AE}" pid="17" name="xd_Signature">
    <vt:bool>false</vt:bool>
  </property>
</Properties>
</file>