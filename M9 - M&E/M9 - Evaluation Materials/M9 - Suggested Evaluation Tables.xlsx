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erstinsvendsen/Downloads/October 2025/Formatted/"/>
    </mc:Choice>
  </mc:AlternateContent>
  <xr:revisionPtr revIDLastSave="0" documentId="8_{FF38190D-EED2-2D49-9FE6-E1EE2D3ECAE0}" xr6:coauthVersionLast="47" xr6:coauthVersionMax="47" xr10:uidLastSave="{00000000-0000-0000-0000-000000000000}"/>
  <bookViews>
    <workbookView xWindow="1920" yWindow="4160" windowWidth="27840" windowHeight="16740" activeTab="2" xr2:uid="{3F8DE0D6-AD26-4AF5-9194-9574AD7CFEF3}"/>
  </bookViews>
  <sheets>
    <sheet name="Graph. SignalOutcomes" sheetId="1" r:id="rId1"/>
    <sheet name="Graph. PPVvDE" sheetId="2" r:id="rId2"/>
    <sheet name="Table. Completeness" sheetId="3" r:id="rId3"/>
    <sheet name="Table. Timeliness" sheetId="4" r:id="rId4"/>
  </sheets>
  <definedNames>
    <definedName name="_xlnm._FilterDatabase" localSheetId="1" hidden="1">'Graph. PPVvDE'!$A$1:$F$1</definedName>
    <definedName name="_xlnm._FilterDatabase" localSheetId="0" hidden="1">'Graph. SignalOutcomes'!$A$1:$N$9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M2" i="1"/>
  <c r="L2" i="1"/>
  <c r="K2" i="1"/>
  <c r="J2" i="1"/>
  <c r="N7" i="1"/>
  <c r="M7" i="1"/>
  <c r="L7" i="1"/>
  <c r="K7" i="1"/>
  <c r="J7" i="1"/>
  <c r="N9" i="1"/>
  <c r="M9" i="1"/>
  <c r="L9" i="1"/>
  <c r="K9" i="1"/>
  <c r="J9" i="1"/>
  <c r="N6" i="1"/>
  <c r="M6" i="1"/>
  <c r="L6" i="1"/>
  <c r="K6" i="1"/>
  <c r="J6" i="1"/>
  <c r="N8" i="1"/>
  <c r="M8" i="1"/>
  <c r="L8" i="1"/>
  <c r="K8" i="1"/>
  <c r="J8" i="1"/>
  <c r="N5" i="1"/>
  <c r="M5" i="1"/>
  <c r="L5" i="1"/>
  <c r="K5" i="1"/>
  <c r="J5" i="1"/>
  <c r="N4" i="1"/>
  <c r="M4" i="1"/>
  <c r="L4" i="1"/>
  <c r="K4" i="1"/>
  <c r="J4" i="1"/>
  <c r="N3" i="1"/>
  <c r="M3" i="1"/>
  <c r="L3" i="1"/>
  <c r="K3" i="1"/>
  <c r="J3" i="1"/>
</calcChain>
</file>

<file path=xl/sharedStrings.xml><?xml version="1.0" encoding="utf-8"?>
<sst xmlns="http://schemas.openxmlformats.org/spreadsheetml/2006/main" count="135" uniqueCount="80">
  <si>
    <t>Location</t>
  </si>
  <si>
    <t>Total signals
occurred</t>
  </si>
  <si>
    <t>Not Triaged</t>
  </si>
  <si>
    <t>Duplicates or Not Relevant</t>
  </si>
  <si>
    <t>Not Verified</t>
  </si>
  <si>
    <t>Not True</t>
  </si>
  <si>
    <t>True Events</t>
  </si>
  <si>
    <t>National Team</t>
  </si>
  <si>
    <t>Region 2</t>
  </si>
  <si>
    <t>Region 1</t>
  </si>
  <si>
    <t>International</t>
  </si>
  <si>
    <t>Total signals
detected</t>
  </si>
  <si>
    <t>Events</t>
  </si>
  <si>
    <t>PPV</t>
  </si>
  <si>
    <t>Detection efficiency</t>
  </si>
  <si>
    <t>Signals Reported</t>
  </si>
  <si>
    <t>Signals Occurred</t>
  </si>
  <si>
    <t>Signals Reported by AND Occurring in a Location</t>
  </si>
  <si>
    <t>Not Triaged (%)</t>
  </si>
  <si>
    <t>Triaged</t>
  </si>
  <si>
    <t>Not Verified (%)</t>
  </si>
  <si>
    <t>Verified (%)</t>
  </si>
  <si>
    <t>True Events (%)</t>
  </si>
  <si>
    <t>Not Relevant</t>
  </si>
  <si>
    <t>Duplicates</t>
  </si>
  <si>
    <t>Passed (%)</t>
  </si>
  <si>
    <t>3010 (49)</t>
  </si>
  <si>
    <t>311 (10.1)</t>
  </si>
  <si>
    <t>266 (85.5)</t>
  </si>
  <si>
    <t>45 (14.5)</t>
  </si>
  <si>
    <t>36 (80)</t>
  </si>
  <si>
    <t>0 (0)</t>
  </si>
  <si>
    <t>23 (7.5)</t>
  </si>
  <si>
    <t>23 (100)</t>
  </si>
  <si>
    <t>14 (60.9)</t>
  </si>
  <si>
    <t>15 (1.6)</t>
  </si>
  <si>
    <t>210 (22.7)</t>
  </si>
  <si>
    <t>7 (3.3)</t>
  </si>
  <si>
    <t>203 (96.7)</t>
  </si>
  <si>
    <t>118 (58.1)</t>
  </si>
  <si>
    <t>Signals Verified
within 24 hours</t>
  </si>
  <si>
    <t>n</t>
  </si>
  <si>
    <t>%</t>
  </si>
  <si>
    <t>12 (2.8)</t>
  </si>
  <si>
    <t>174 (42.3)</t>
  </si>
  <si>
    <t>174 (100)</t>
  </si>
  <si>
    <t>113 (64.9)</t>
  </si>
  <si>
    <t>2 (0)</t>
  </si>
  <si>
    <t>3878 (94.2)</t>
  </si>
  <si>
    <t>11 (0.3)</t>
  </si>
  <si>
    <t>3867 (99.7)</t>
  </si>
  <si>
    <t>3455 (89.3)</t>
  </si>
  <si>
    <t>25 (17.4)</t>
  </si>
  <si>
    <t>50 (42)</t>
  </si>
  <si>
    <t>5 (10)</t>
  </si>
  <si>
    <t>45 (90)</t>
  </si>
  <si>
    <t>37 (82.2)</t>
  </si>
  <si>
    <t>1013 (58.7)</t>
  </si>
  <si>
    <t>1013 (100)</t>
  </si>
  <si>
    <t>893 (88.2)</t>
  </si>
  <si>
    <t>2542 (50.9)</t>
  </si>
  <si>
    <t>190 (7.7)</t>
  </si>
  <si>
    <t>177 (93.2)</t>
  </si>
  <si>
    <t>13 (6.8)</t>
  </si>
  <si>
    <t>11 (84.6)</t>
  </si>
  <si>
    <t>DE</t>
  </si>
  <si>
    <t>National  Team</t>
  </si>
  <si>
    <t>Region 3</t>
  </si>
  <si>
    <t>Region 4</t>
  </si>
  <si>
    <t>Region 5</t>
  </si>
  <si>
    <t>Region 6</t>
  </si>
  <si>
    <t>Map of optimal detection, reporting, vreification, and response timeliness</t>
  </si>
  <si>
    <t>Signals Detected within 7 days of event start</t>
  </si>
  <si>
    <t>Signals Reported within 24 hours of detection</t>
  </si>
  <si>
    <t>Events that Completed an Initial Response
within 7 days of verification</t>
  </si>
  <si>
    <t>Optimal detection only</t>
  </si>
  <si>
    <t>Optimal detection and reporting</t>
  </si>
  <si>
    <t>Optimal detection, reporting, and verification</t>
  </si>
  <si>
    <t>Optimal detection, reporting, and response</t>
  </si>
  <si>
    <t>Optimal detection, reporting, verification, and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</si>
</sst>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Aptos Narrow"/>
      <family val="2"/>
      <scheme val="minor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000000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 style="double">
        <color indexed="64"/>
      </bottom>
      <diagonal/>
    </border>
    <border>
      <left/>
      <right style="thin">
        <color rgb="FF666666"/>
      </right>
      <top/>
      <bottom style="double">
        <color indexed="64"/>
      </bottom>
      <diagonal/>
    </border>
    <border>
      <left style="thin">
        <color rgb="FF666666"/>
      </left>
      <right style="thin">
        <color rgb="FF666666"/>
      </right>
      <top style="double">
        <color indexed="64"/>
      </top>
      <bottom/>
      <diagonal/>
    </border>
    <border>
      <left style="thin">
        <color rgb="FF666666"/>
      </left>
      <right style="thin">
        <color rgb="FF666666"/>
      </right>
      <top style="double">
        <color indexed="64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4" fillId="0" borderId="14" xfId="0" applyFont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164" fontId="4" fillId="4" borderId="14" xfId="0" applyNumberFormat="1" applyFont="1" applyFill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164" fontId="5" fillId="5" borderId="14" xfId="0" applyNumberFormat="1" applyFont="1" applyFill="1" applyBorder="1" applyAlignment="1">
      <alignment horizontal="center"/>
    </xf>
    <xf numFmtId="164" fontId="4" fillId="5" borderId="14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4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5" borderId="0" xfId="0" applyNumberFormat="1" applyFont="1" applyFill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5" fontId="4" fillId="4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5" borderId="0" xfId="0" applyNumberFormat="1" applyFont="1" applyFill="1" applyAlignment="1">
      <alignment horizontal="center"/>
    </xf>
    <xf numFmtId="165" fontId="0" fillId="5" borderId="0" xfId="0" applyNumberFormat="1" applyFill="1" applyAlignment="1">
      <alignment horizontal="center" vertical="center" wrapText="1"/>
    </xf>
    <xf numFmtId="0" fontId="9" fillId="3" borderId="11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6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4" fillId="0" borderId="13" xfId="0" applyFont="1" applyBorder="1" applyAlignment="1">
      <alignment horizontal="center"/>
    </xf>
    <xf numFmtId="0" fontId="7" fillId="2" borderId="0" xfId="0" applyFont="1" applyFill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93A"/>
      <color rgb="FF005E5D"/>
      <color rgb="FFE3ED03"/>
      <color rgb="FF04A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outcome for signals detected by the National Team and all 6 Regions in Country A</a:t>
            </a:r>
            <a:r>
              <a:rPr lang="en-US" baseline="0"/>
              <a:t> for </a:t>
            </a:r>
            <a:r>
              <a:rPr lang="en-US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'Graph. SignalOutcomes'!$J$1</c:f>
              <c:strCache>
                <c:ptCount val="1"/>
                <c:pt idx="0">
                  <c:v>Not Triaged</c:v>
                </c:pt>
              </c:strCache>
            </c:strRef>
          </c:tx>
          <c:spPr>
            <a:solidFill>
              <a:srgbClr val="E3ED03"/>
            </a:solidFill>
            <a:ln>
              <a:noFill/>
            </a:ln>
            <a:effectLst/>
          </c:spPr>
          <c:invertIfNegative val="0"/>
          <c:cat>
            <c:strRef>
              <c:f>'Graph. SignalOutcomes'!$I$2:$I$9</c:f>
              <c:strCache>
                <c:ptCount val="8"/>
                <c:pt idx="0">
                  <c:v>International</c:v>
                </c:pt>
                <c:pt idx="1">
                  <c:v>National Team</c:v>
                </c:pt>
                <c:pt idx="2">
                  <c:v>Region 1</c:v>
                </c:pt>
                <c:pt idx="3">
                  <c:v>Region 2</c:v>
                </c:pt>
                <c:pt idx="4">
                  <c:v>Region 3</c:v>
                </c:pt>
                <c:pt idx="5">
                  <c:v>Region 4</c:v>
                </c:pt>
                <c:pt idx="6">
                  <c:v>Region 5</c:v>
                </c:pt>
                <c:pt idx="7">
                  <c:v>Region 6</c:v>
                </c:pt>
              </c:strCache>
            </c:strRef>
          </c:cat>
          <c:val>
            <c:numRef>
              <c:f>'Graph. SignalOutcomes'!$J$2:$J$9</c:f>
              <c:numCache>
                <c:formatCode>0%</c:formatCode>
                <c:ptCount val="8"/>
                <c:pt idx="0">
                  <c:v>0.50901081297557071</c:v>
                </c:pt>
                <c:pt idx="1">
                  <c:v>0.49392845421726289</c:v>
                </c:pt>
                <c:pt idx="2">
                  <c:v>0</c:v>
                </c:pt>
                <c:pt idx="3">
                  <c:v>1.5957446808510637E-2</c:v>
                </c:pt>
                <c:pt idx="4">
                  <c:v>2.8368794326241134E-2</c:v>
                </c:pt>
                <c:pt idx="5">
                  <c:v>4.8555474629764507E-4</c:v>
                </c:pt>
                <c:pt idx="6">
                  <c:v>0.1736111111111111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6-422A-9459-BABD4C1C5958}"/>
            </c:ext>
          </c:extLst>
        </c:ser>
        <c:ser>
          <c:idx val="1"/>
          <c:order val="1"/>
          <c:tx>
            <c:strRef>
              <c:f>'Graph. SignalOutcomes'!$K$1</c:f>
              <c:strCache>
                <c:ptCount val="1"/>
                <c:pt idx="0">
                  <c:v>Duplicates or Not Relevant</c:v>
                </c:pt>
              </c:strCache>
            </c:strRef>
          </c:tx>
          <c:spPr>
            <a:solidFill>
              <a:srgbClr val="005E5D"/>
            </a:solidFill>
            <a:ln>
              <a:noFill/>
            </a:ln>
            <a:effectLst/>
          </c:spPr>
          <c:invertIfNegative val="0"/>
          <c:cat>
            <c:strRef>
              <c:f>'Graph. SignalOutcomes'!$I$2:$I$9</c:f>
              <c:strCache>
                <c:ptCount val="8"/>
                <c:pt idx="0">
                  <c:v>International</c:v>
                </c:pt>
                <c:pt idx="1">
                  <c:v>National Team</c:v>
                </c:pt>
                <c:pt idx="2">
                  <c:v>Region 1</c:v>
                </c:pt>
                <c:pt idx="3">
                  <c:v>Region 2</c:v>
                </c:pt>
                <c:pt idx="4">
                  <c:v>Region 3</c:v>
                </c:pt>
                <c:pt idx="5">
                  <c:v>Region 4</c:v>
                </c:pt>
                <c:pt idx="6">
                  <c:v>Region 5</c:v>
                </c:pt>
                <c:pt idx="7">
                  <c:v>Region 6</c:v>
                </c:pt>
              </c:strCache>
            </c:strRef>
          </c:cat>
          <c:val>
            <c:numRef>
              <c:f>'Graph. SignalOutcomes'!$K$2:$K$9</c:f>
              <c:numCache>
                <c:formatCode>0%</c:formatCode>
                <c:ptCount val="8"/>
                <c:pt idx="0">
                  <c:v>0.45294353223868644</c:v>
                </c:pt>
                <c:pt idx="1">
                  <c:v>0.45503774204135217</c:v>
                </c:pt>
                <c:pt idx="2">
                  <c:v>0.92532467532467533</c:v>
                </c:pt>
                <c:pt idx="3">
                  <c:v>0.76063829787234039</c:v>
                </c:pt>
                <c:pt idx="4">
                  <c:v>0.56028368794326244</c:v>
                </c:pt>
                <c:pt idx="5">
                  <c:v>5.8023792182568583E-2</c:v>
                </c:pt>
                <c:pt idx="6">
                  <c:v>0.47916666666666669</c:v>
                </c:pt>
                <c:pt idx="7">
                  <c:v>0.41343370005790386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6-422A-9459-BABD4C1C5958}"/>
            </c:ext>
          </c:extLst>
        </c:ser>
        <c:ser>
          <c:idx val="2"/>
          <c:order val="2"/>
          <c:tx>
            <c:strRef>
              <c:f>'Graph. SignalOutcomes'!$L$1</c:f>
              <c:strCache>
                <c:ptCount val="1"/>
                <c:pt idx="0">
                  <c:v>Not Verified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'Graph. SignalOutcomes'!$I$2:$I$9</c:f>
              <c:strCache>
                <c:ptCount val="8"/>
                <c:pt idx="0">
                  <c:v>International</c:v>
                </c:pt>
                <c:pt idx="1">
                  <c:v>National Team</c:v>
                </c:pt>
                <c:pt idx="2">
                  <c:v>Region 1</c:v>
                </c:pt>
                <c:pt idx="3">
                  <c:v>Region 2</c:v>
                </c:pt>
                <c:pt idx="4">
                  <c:v>Region 3</c:v>
                </c:pt>
                <c:pt idx="5">
                  <c:v>Region 4</c:v>
                </c:pt>
                <c:pt idx="6">
                  <c:v>Region 5</c:v>
                </c:pt>
                <c:pt idx="7">
                  <c:v>Region 6</c:v>
                </c:pt>
              </c:strCache>
            </c:strRef>
          </c:cat>
          <c:val>
            <c:numRef>
              <c:f>'Graph. SignalOutcomes'!$L$2:$L$9</c:f>
              <c:numCache>
                <c:formatCode>0%</c:formatCode>
                <c:ptCount val="8"/>
                <c:pt idx="0">
                  <c:v>3.5442531037244693E-2</c:v>
                </c:pt>
                <c:pt idx="1">
                  <c:v>4.3649491302920909E-2</c:v>
                </c:pt>
                <c:pt idx="2">
                  <c:v>0</c:v>
                </c:pt>
                <c:pt idx="3">
                  <c:v>7.4468085106382982E-3</c:v>
                </c:pt>
                <c:pt idx="4">
                  <c:v>0</c:v>
                </c:pt>
                <c:pt idx="5">
                  <c:v>2.6705511046370479E-3</c:v>
                </c:pt>
                <c:pt idx="6">
                  <c:v>3.4722222222222224E-2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6-422A-9459-BABD4C1C5958}"/>
            </c:ext>
          </c:extLst>
        </c:ser>
        <c:ser>
          <c:idx val="3"/>
          <c:order val="3"/>
          <c:tx>
            <c:strRef>
              <c:f>'Graph. SignalOutcomes'!$M$1</c:f>
              <c:strCache>
                <c:ptCount val="1"/>
                <c:pt idx="0">
                  <c:v>Not True</c:v>
                </c:pt>
              </c:strCache>
            </c:strRef>
          </c:tx>
          <c:spPr>
            <a:solidFill>
              <a:srgbClr val="FF393A"/>
            </a:solidFill>
            <a:ln>
              <a:noFill/>
            </a:ln>
            <a:effectLst/>
          </c:spPr>
          <c:invertIfNegative val="0"/>
          <c:cat>
            <c:strRef>
              <c:f>'Graph. SignalOutcomes'!$I$2:$I$9</c:f>
              <c:strCache>
                <c:ptCount val="8"/>
                <c:pt idx="0">
                  <c:v>International</c:v>
                </c:pt>
                <c:pt idx="1">
                  <c:v>National Team</c:v>
                </c:pt>
                <c:pt idx="2">
                  <c:v>Region 1</c:v>
                </c:pt>
                <c:pt idx="3">
                  <c:v>Region 2</c:v>
                </c:pt>
                <c:pt idx="4">
                  <c:v>Region 3</c:v>
                </c:pt>
                <c:pt idx="5">
                  <c:v>Region 4</c:v>
                </c:pt>
                <c:pt idx="6">
                  <c:v>Region 5</c:v>
                </c:pt>
                <c:pt idx="7">
                  <c:v>Region 6</c:v>
                </c:pt>
              </c:strCache>
            </c:strRef>
          </c:cat>
          <c:val>
            <c:numRef>
              <c:f>'Graph. SignalOutcomes'!$M$2:$M$9</c:f>
              <c:numCache>
                <c:formatCode>0%</c:formatCode>
                <c:ptCount val="8"/>
                <c:pt idx="0">
                  <c:v>4.0048057669203043E-4</c:v>
                </c:pt>
                <c:pt idx="1">
                  <c:v>1.4768624876928126E-3</c:v>
                </c:pt>
                <c:pt idx="2">
                  <c:v>2.922077922077922E-2</c:v>
                </c:pt>
                <c:pt idx="3">
                  <c:v>9.0425531914893623E-2</c:v>
                </c:pt>
                <c:pt idx="4">
                  <c:v>0.14420803782505912</c:v>
                </c:pt>
                <c:pt idx="5">
                  <c:v>0.10002427773731488</c:v>
                </c:pt>
                <c:pt idx="6">
                  <c:v>5.5555555555555552E-2</c:v>
                </c:pt>
                <c:pt idx="7">
                  <c:v>6.9484655471916623E-2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A6-422A-9459-BABD4C1C5958}"/>
            </c:ext>
          </c:extLst>
        </c:ser>
        <c:ser>
          <c:idx val="4"/>
          <c:order val="4"/>
          <c:tx>
            <c:strRef>
              <c:f>'Graph. SignalOutcomes'!$N$1</c:f>
              <c:strCache>
                <c:ptCount val="1"/>
                <c:pt idx="0">
                  <c:v>True Events</c:v>
                </c:pt>
              </c:strCache>
            </c:strRef>
          </c:tx>
          <c:spPr>
            <a:solidFill>
              <a:srgbClr val="04A266"/>
            </a:solidFill>
            <a:ln>
              <a:noFill/>
            </a:ln>
            <a:effectLst/>
          </c:spPr>
          <c:invertIfNegative val="0"/>
          <c:cat>
            <c:strRef>
              <c:f>'Graph. SignalOutcomes'!$I$2:$I$9</c:f>
              <c:strCache>
                <c:ptCount val="8"/>
                <c:pt idx="0">
                  <c:v>International</c:v>
                </c:pt>
                <c:pt idx="1">
                  <c:v>National Team</c:v>
                </c:pt>
                <c:pt idx="2">
                  <c:v>Region 1</c:v>
                </c:pt>
                <c:pt idx="3">
                  <c:v>Region 2</c:v>
                </c:pt>
                <c:pt idx="4">
                  <c:v>Region 3</c:v>
                </c:pt>
                <c:pt idx="5">
                  <c:v>Region 4</c:v>
                </c:pt>
                <c:pt idx="6">
                  <c:v>Region 5</c:v>
                </c:pt>
                <c:pt idx="7">
                  <c:v>Region 6</c:v>
                </c:pt>
              </c:strCache>
            </c:strRef>
          </c:cat>
          <c:val>
            <c:numRef>
              <c:f>'Graph. SignalOutcomes'!$N$2:$N$9</c:f>
              <c:numCache>
                <c:formatCode>0%</c:formatCode>
                <c:ptCount val="8"/>
                <c:pt idx="0">
                  <c:v>2.2026431718061676E-3</c:v>
                </c:pt>
                <c:pt idx="1">
                  <c:v>5.9074499507712503E-3</c:v>
                </c:pt>
                <c:pt idx="2">
                  <c:v>4.5454545454545456E-2</c:v>
                </c:pt>
                <c:pt idx="3">
                  <c:v>0.12553191489361701</c:v>
                </c:pt>
                <c:pt idx="4">
                  <c:v>0.26713947990543735</c:v>
                </c:pt>
                <c:pt idx="5">
                  <c:v>0.83879582422918186</c:v>
                </c:pt>
                <c:pt idx="6">
                  <c:v>0.25694444444444442</c:v>
                </c:pt>
                <c:pt idx="7">
                  <c:v>0.51708164447017946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A6-422A-9459-BABD4C1C5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4131792"/>
        <c:axId val="1054117872"/>
      </c:barChart>
      <c:catAx>
        <c:axId val="105413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 where</a:t>
                </a:r>
                <a:r>
                  <a:rPr lang="en-US" baseline="0"/>
                  <a:t> signal is occurring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17872"/>
        <c:crosses val="autoZero"/>
        <c:auto val="1"/>
        <c:lblAlgn val="ctr"/>
        <c:lblOffset val="100"/>
        <c:noMultiLvlLbl val="0"/>
      </c:catAx>
      <c:valAx>
        <c:axId val="105411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3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Positive Predictive Value and Detection Efficiency for the National Team and all 6 Regions</a:t>
            </a:r>
            <a:r>
              <a:rPr lang="en-US" baseline="0"/>
              <a:t> of Country A in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'Graph. PPVvDE'!$E$1</c:f>
              <c:strCache>
                <c:ptCount val="1"/>
                <c:pt idx="0">
                  <c:v>PPV</c:v>
                </c:pt>
              </c:strCache>
            </c:strRef>
          </c:tx>
          <c:spPr>
            <a:solidFill>
              <a:srgbClr val="005E5D"/>
            </a:solidFill>
            <a:ln>
              <a:noFill/>
            </a:ln>
            <a:effectLst/>
          </c:spPr>
          <c:invertIfNegative val="0"/>
          <c:cat>
            <c:strRef>
              <c:f>'Graph. PPVvDE'!$A$2:$A$9</c:f>
              <c:strCache>
                <c:ptCount val="8"/>
                <c:pt idx="0">
                  <c:v>International</c:v>
                </c:pt>
                <c:pt idx="1">
                  <c:v>National Team</c:v>
                </c:pt>
                <c:pt idx="2">
                  <c:v>Region 1</c:v>
                </c:pt>
                <c:pt idx="3">
                  <c:v>Region 2</c:v>
                </c:pt>
                <c:pt idx="4">
                  <c:v>Region 3</c:v>
                </c:pt>
                <c:pt idx="5">
                  <c:v>Region 4</c:v>
                </c:pt>
                <c:pt idx="6">
                  <c:v>Region 5</c:v>
                </c:pt>
                <c:pt idx="7">
                  <c:v>Region 6</c:v>
                </c:pt>
              </c:strCache>
            </c:strRef>
          </c:cat>
          <c:val>
            <c:numRef>
              <c:f>'Graph. PPVvDE'!$E$2:$E$9</c:f>
              <c:numCache>
                <c:formatCode>0.00</c:formatCode>
                <c:ptCount val="8"/>
                <c:pt idx="0">
                  <c:v>0</c:v>
                </c:pt>
                <c:pt idx="1">
                  <c:v>5.9074499507712503E-3</c:v>
                </c:pt>
                <c:pt idx="2">
                  <c:v>4.5454545454545456E-2</c:v>
                </c:pt>
                <c:pt idx="3">
                  <c:v>0.12553191489361701</c:v>
                </c:pt>
                <c:pt idx="4">
                  <c:v>0.26713947990543735</c:v>
                </c:pt>
                <c:pt idx="5">
                  <c:v>0.83879582422918186</c:v>
                </c:pt>
                <c:pt idx="6">
                  <c:v>0.25694444444444442</c:v>
                </c:pt>
                <c:pt idx="7">
                  <c:v>0.51708164447017946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8-45D4-9558-8E58E750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211391"/>
        <c:axId val="162211871"/>
      </c:barChart>
      <c:lineChart>
        <c:grouping val="standard"/>
        <c:varyColors val="0"/>
        <c:ser>
          <c:idx val="1"/>
          <c:order val="1"/>
          <c:tx>
            <c:strRef>
              <c:f>'Graph. PPVvDE'!$F$1</c:f>
              <c:strCache>
                <c:ptCount val="1"/>
                <c:pt idx="0">
                  <c:v>Detection efficiency</c:v>
                </c:pt>
              </c:strCache>
            </c:strRef>
          </c:tx>
          <c:spPr>
            <a:ln w="25400" cap="rnd">
              <a:solidFill>
                <a:srgbClr val="FF393A"/>
              </a:solidFill>
              <a:round/>
            </a:ln>
            <a:effectLst/>
          </c:spPr>
          <c:marker>
            <c:symbol val="x"/>
            <c:size val="8"/>
            <c:spPr>
              <a:solidFill>
                <a:schemeClr val="bg1">
                  <a:alpha val="0"/>
                </a:schemeClr>
              </a:solidFill>
              <a:ln w="12700">
                <a:solidFill>
                  <a:schemeClr val="accent2"/>
                </a:solidFill>
              </a:ln>
              <a:effectLst/>
            </c:spPr>
          </c:marker>
          <c:cat>
            <c:strRef>
              <c:f>'Graph. PPVvDE'!$A$2:$A$9</c:f>
              <c:strCache>
                <c:ptCount val="8"/>
                <c:pt idx="0">
                  <c:v>International</c:v>
                </c:pt>
                <c:pt idx="1">
                  <c:v>National Team</c:v>
                </c:pt>
                <c:pt idx="2">
                  <c:v>Region 1</c:v>
                </c:pt>
                <c:pt idx="3">
                  <c:v>Region 2</c:v>
                </c:pt>
                <c:pt idx="4">
                  <c:v>Region 3</c:v>
                </c:pt>
                <c:pt idx="5">
                  <c:v>Region 4</c:v>
                </c:pt>
                <c:pt idx="6">
                  <c:v>Region 5</c:v>
                </c:pt>
                <c:pt idx="7">
                  <c:v>Region 6</c:v>
                </c:pt>
              </c:strCache>
            </c:strRef>
          </c:cat>
          <c:val>
            <c:numRef>
              <c:f>'Graph. PPVvDE'!$F$2:$F$9</c:f>
              <c:numCache>
                <c:formatCode>0.00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0.77777777777777779</c:v>
                </c:pt>
                <c:pt idx="3">
                  <c:v>1.7611940298507462</c:v>
                </c:pt>
                <c:pt idx="4">
                  <c:v>0.7533333333333333</c:v>
                </c:pt>
                <c:pt idx="5">
                  <c:v>0.92826437399247719</c:v>
                </c:pt>
                <c:pt idx="6">
                  <c:v>12.333333333333334</c:v>
                </c:pt>
                <c:pt idx="7">
                  <c:v>0.92924037460978148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78-45D4-9558-8E58E750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75359"/>
        <c:axId val="368678239"/>
      </c:lineChart>
      <c:catAx>
        <c:axId val="16221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1871"/>
        <c:crosses val="autoZero"/>
        <c:auto val="1"/>
        <c:lblAlgn val="ctr"/>
        <c:lblOffset val="100"/>
        <c:noMultiLvlLbl val="0"/>
      </c:catAx>
      <c:valAx>
        <c:axId val="16221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1391"/>
        <c:crosses val="autoZero"/>
        <c:crossBetween val="between"/>
      </c:valAx>
      <c:valAx>
        <c:axId val="36867823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75359"/>
        <c:crosses val="max"/>
        <c:crossBetween val="between"/>
      </c:valAx>
      <c:catAx>
        <c:axId val="368675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8678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11</xdr:row>
      <xdr:rowOff>11112</xdr:rowOff>
    </xdr:from>
    <xdr:to>
      <xdr:col>6</xdr:col>
      <xdr:colOff>466725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2F568A-9490-830E-C77F-307A2C916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58737</xdr:colOff>
      <xdr:row>0</xdr:row>
      <xdr:rowOff>150812</xdr:rowOff>
    </xdr:from>
    <xdr:to>
      <xdr:col>13</xdr:col>
      <xdr:colOff>363537</xdr:colOff>
      <xdr:row>18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87A6EE-668E-BC91-46B6-FF7899343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14</xdr:row>
      <xdr:rowOff>38100</xdr:rowOff>
    </xdr:from>
    <xdr:to>
      <xdr:col>6</xdr:col>
      <xdr:colOff>31590</xdr:colOff>
      <xdr:row>32</xdr:row>
      <xdr:rowOff>140537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EC9A79B-1665-404C-ACF0-1EB35DA4B539}"/>
            </a:ext>
          </a:extLst>
        </xdr:cNvPr>
        <xdr:cNvGrpSpPr/>
      </xdr:nvGrpSpPr>
      <xdr:grpSpPr>
        <a:xfrm>
          <a:off x="466725" y="3568700"/>
          <a:ext cx="4797265" cy="3531437"/>
          <a:chOff x="3725369" y="324402"/>
          <a:chExt cx="4365465" cy="3359987"/>
        </a:xfrm>
      </xdr:grpSpPr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DA39D04E-D236-8029-D37A-9AFF2203FEC8}"/>
              </a:ext>
            </a:extLst>
          </xdr:cNvPr>
          <xdr:cNvSpPr/>
        </xdr:nvSpPr>
        <xdr:spPr>
          <a:xfrm>
            <a:off x="3815827" y="747712"/>
            <a:ext cx="1881054" cy="1545124"/>
          </a:xfrm>
          <a:custGeom>
            <a:avLst/>
            <a:gdLst>
              <a:gd name="connsiteX0" fmla="*/ 2827 w 1881054"/>
              <a:gd name="connsiteY0" fmla="*/ 333633 h 1545124"/>
              <a:gd name="connsiteX1" fmla="*/ 76968 w 1881054"/>
              <a:gd name="connsiteY1" fmla="*/ 74141 h 1545124"/>
              <a:gd name="connsiteX2" fmla="*/ 126395 w 1881054"/>
              <a:gd name="connsiteY2" fmla="*/ 0 h 1545124"/>
              <a:gd name="connsiteX3" fmla="*/ 188178 w 1881054"/>
              <a:gd name="connsiteY3" fmla="*/ 111211 h 1545124"/>
              <a:gd name="connsiteX4" fmla="*/ 262319 w 1881054"/>
              <a:gd name="connsiteY4" fmla="*/ 259492 h 1545124"/>
              <a:gd name="connsiteX5" fmla="*/ 348816 w 1881054"/>
              <a:gd name="connsiteY5" fmla="*/ 296563 h 1545124"/>
              <a:gd name="connsiteX6" fmla="*/ 534168 w 1881054"/>
              <a:gd name="connsiteY6" fmla="*/ 247135 h 1545124"/>
              <a:gd name="connsiteX7" fmla="*/ 620665 w 1881054"/>
              <a:gd name="connsiteY7" fmla="*/ 185352 h 1545124"/>
              <a:gd name="connsiteX8" fmla="*/ 719519 w 1881054"/>
              <a:gd name="connsiteY8" fmla="*/ 98854 h 1545124"/>
              <a:gd name="connsiteX9" fmla="*/ 954297 w 1881054"/>
              <a:gd name="connsiteY9" fmla="*/ 247135 h 1545124"/>
              <a:gd name="connsiteX10" fmla="*/ 1028438 w 1881054"/>
              <a:gd name="connsiteY10" fmla="*/ 308919 h 1545124"/>
              <a:gd name="connsiteX11" fmla="*/ 1077865 w 1881054"/>
              <a:gd name="connsiteY11" fmla="*/ 395417 h 1545124"/>
              <a:gd name="connsiteX12" fmla="*/ 1127292 w 1881054"/>
              <a:gd name="connsiteY12" fmla="*/ 457200 h 1545124"/>
              <a:gd name="connsiteX13" fmla="*/ 1238503 w 1881054"/>
              <a:gd name="connsiteY13" fmla="*/ 778476 h 1545124"/>
              <a:gd name="connsiteX14" fmla="*/ 1275573 w 1881054"/>
              <a:gd name="connsiteY14" fmla="*/ 840260 h 1545124"/>
              <a:gd name="connsiteX15" fmla="*/ 1349714 w 1881054"/>
              <a:gd name="connsiteY15" fmla="*/ 939114 h 1545124"/>
              <a:gd name="connsiteX16" fmla="*/ 1473281 w 1881054"/>
              <a:gd name="connsiteY16" fmla="*/ 963827 h 1545124"/>
              <a:gd name="connsiteX17" fmla="*/ 1646276 w 1881054"/>
              <a:gd name="connsiteY17" fmla="*/ 939114 h 1545124"/>
              <a:gd name="connsiteX18" fmla="*/ 1881054 w 1881054"/>
              <a:gd name="connsiteY18" fmla="*/ 1334530 h 1545124"/>
              <a:gd name="connsiteX19" fmla="*/ 1497995 w 1881054"/>
              <a:gd name="connsiteY19" fmla="*/ 1507525 h 1545124"/>
              <a:gd name="connsiteX20" fmla="*/ 768946 w 1881054"/>
              <a:gd name="connsiteY20" fmla="*/ 1532238 h 1545124"/>
              <a:gd name="connsiteX21" fmla="*/ 497097 w 1881054"/>
              <a:gd name="connsiteY21" fmla="*/ 1371600 h 1545124"/>
              <a:gd name="connsiteX22" fmla="*/ 460027 w 1881054"/>
              <a:gd name="connsiteY22" fmla="*/ 1322173 h 1545124"/>
              <a:gd name="connsiteX23" fmla="*/ 311746 w 1881054"/>
              <a:gd name="connsiteY23" fmla="*/ 939114 h 1545124"/>
              <a:gd name="connsiteX24" fmla="*/ 274676 w 1881054"/>
              <a:gd name="connsiteY24" fmla="*/ 864973 h 1545124"/>
              <a:gd name="connsiteX25" fmla="*/ 114038 w 1881054"/>
              <a:gd name="connsiteY25" fmla="*/ 815546 h 1545124"/>
              <a:gd name="connsiteX26" fmla="*/ 76968 w 1881054"/>
              <a:gd name="connsiteY26" fmla="*/ 716692 h 1545124"/>
              <a:gd name="connsiteX27" fmla="*/ 52254 w 1881054"/>
              <a:gd name="connsiteY27" fmla="*/ 580768 h 1545124"/>
              <a:gd name="connsiteX28" fmla="*/ 15184 w 1881054"/>
              <a:gd name="connsiteY28" fmla="*/ 407773 h 1545124"/>
              <a:gd name="connsiteX29" fmla="*/ 2827 w 1881054"/>
              <a:gd name="connsiteY29" fmla="*/ 333633 h 15451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1881054" h="1545124">
                <a:moveTo>
                  <a:pt x="2827" y="333633"/>
                </a:moveTo>
                <a:cubicBezTo>
                  <a:pt x="13124" y="278028"/>
                  <a:pt x="29038" y="191302"/>
                  <a:pt x="76968" y="74141"/>
                </a:cubicBezTo>
                <a:cubicBezTo>
                  <a:pt x="88214" y="46650"/>
                  <a:pt x="109919" y="24714"/>
                  <a:pt x="126395" y="0"/>
                </a:cubicBezTo>
                <a:cubicBezTo>
                  <a:pt x="146989" y="37070"/>
                  <a:pt x="168501" y="73646"/>
                  <a:pt x="188178" y="111211"/>
                </a:cubicBezTo>
                <a:cubicBezTo>
                  <a:pt x="213819" y="160163"/>
                  <a:pt x="226127" y="217732"/>
                  <a:pt x="262319" y="259492"/>
                </a:cubicBezTo>
                <a:cubicBezTo>
                  <a:pt x="282863" y="283197"/>
                  <a:pt x="319984" y="284206"/>
                  <a:pt x="348816" y="296563"/>
                </a:cubicBezTo>
                <a:cubicBezTo>
                  <a:pt x="410600" y="280087"/>
                  <a:pt x="474986" y="271346"/>
                  <a:pt x="534168" y="247135"/>
                </a:cubicBezTo>
                <a:cubicBezTo>
                  <a:pt x="566962" y="233719"/>
                  <a:pt x="592319" y="206611"/>
                  <a:pt x="620665" y="185352"/>
                </a:cubicBezTo>
                <a:cubicBezTo>
                  <a:pt x="681010" y="140093"/>
                  <a:pt x="673795" y="144579"/>
                  <a:pt x="719519" y="98854"/>
                </a:cubicBezTo>
                <a:cubicBezTo>
                  <a:pt x="797778" y="148281"/>
                  <a:pt x="877756" y="195087"/>
                  <a:pt x="954297" y="247135"/>
                </a:cubicBezTo>
                <a:cubicBezTo>
                  <a:pt x="980899" y="265224"/>
                  <a:pt x="1007843" y="284205"/>
                  <a:pt x="1028438" y="308919"/>
                </a:cubicBezTo>
                <a:cubicBezTo>
                  <a:pt x="1049697" y="334430"/>
                  <a:pt x="1059445" y="367786"/>
                  <a:pt x="1077865" y="395417"/>
                </a:cubicBezTo>
                <a:cubicBezTo>
                  <a:pt x="1092495" y="417361"/>
                  <a:pt x="1110816" y="436606"/>
                  <a:pt x="1127292" y="457200"/>
                </a:cubicBezTo>
                <a:cubicBezTo>
                  <a:pt x="1165601" y="581705"/>
                  <a:pt x="1185270" y="658702"/>
                  <a:pt x="1238503" y="778476"/>
                </a:cubicBezTo>
                <a:cubicBezTo>
                  <a:pt x="1248257" y="800423"/>
                  <a:pt x="1263909" y="819265"/>
                  <a:pt x="1275573" y="840260"/>
                </a:cubicBezTo>
                <a:cubicBezTo>
                  <a:pt x="1295258" y="875693"/>
                  <a:pt x="1306804" y="920724"/>
                  <a:pt x="1349714" y="939114"/>
                </a:cubicBezTo>
                <a:cubicBezTo>
                  <a:pt x="1388322" y="955660"/>
                  <a:pt x="1432092" y="955589"/>
                  <a:pt x="1473281" y="963827"/>
                </a:cubicBezTo>
                <a:cubicBezTo>
                  <a:pt x="1530946" y="955589"/>
                  <a:pt x="1593792" y="913844"/>
                  <a:pt x="1646276" y="939114"/>
                </a:cubicBezTo>
                <a:cubicBezTo>
                  <a:pt x="1795719" y="1011068"/>
                  <a:pt x="1834040" y="1201322"/>
                  <a:pt x="1881054" y="1334530"/>
                </a:cubicBezTo>
                <a:cubicBezTo>
                  <a:pt x="1753368" y="1392195"/>
                  <a:pt x="1633540" y="1472075"/>
                  <a:pt x="1497995" y="1507525"/>
                </a:cubicBezTo>
                <a:cubicBezTo>
                  <a:pt x="1275670" y="1565672"/>
                  <a:pt x="998091" y="1541404"/>
                  <a:pt x="768946" y="1532238"/>
                </a:cubicBezTo>
                <a:cubicBezTo>
                  <a:pt x="554747" y="1460838"/>
                  <a:pt x="617949" y="1516622"/>
                  <a:pt x="497097" y="1371600"/>
                </a:cubicBezTo>
                <a:cubicBezTo>
                  <a:pt x="483913" y="1355779"/>
                  <a:pt x="468881" y="1340767"/>
                  <a:pt x="460027" y="1322173"/>
                </a:cubicBezTo>
                <a:cubicBezTo>
                  <a:pt x="359494" y="1111052"/>
                  <a:pt x="391497" y="1138492"/>
                  <a:pt x="311746" y="939114"/>
                </a:cubicBezTo>
                <a:cubicBezTo>
                  <a:pt x="301484" y="913460"/>
                  <a:pt x="298107" y="879617"/>
                  <a:pt x="274676" y="864973"/>
                </a:cubicBezTo>
                <a:cubicBezTo>
                  <a:pt x="227168" y="835281"/>
                  <a:pt x="167584" y="832022"/>
                  <a:pt x="114038" y="815546"/>
                </a:cubicBezTo>
                <a:cubicBezTo>
                  <a:pt x="106471" y="796628"/>
                  <a:pt x="83428" y="742532"/>
                  <a:pt x="76968" y="716692"/>
                </a:cubicBezTo>
                <a:cubicBezTo>
                  <a:pt x="59095" y="645199"/>
                  <a:pt x="68782" y="657900"/>
                  <a:pt x="52254" y="580768"/>
                </a:cubicBezTo>
                <a:cubicBezTo>
                  <a:pt x="35858" y="504251"/>
                  <a:pt x="22508" y="481010"/>
                  <a:pt x="15184" y="407773"/>
                </a:cubicBezTo>
                <a:cubicBezTo>
                  <a:pt x="13545" y="391379"/>
                  <a:pt x="-7470" y="389238"/>
                  <a:pt x="2827" y="333633"/>
                </a:cubicBezTo>
                <a:close/>
              </a:path>
            </a:pathLst>
          </a:custGeom>
          <a:solidFill>
            <a:schemeClr val="tx2">
              <a:lumMod val="10000"/>
              <a:lumOff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>
                <a:solidFill>
                  <a:sysClr val="windowText" lastClr="000000"/>
                </a:solidFill>
              </a:rPr>
              <a:t>2</a:t>
            </a:r>
          </a:p>
        </xdr:txBody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7ED782C1-A2BE-7182-82CF-551FEC5D0E92}"/>
              </a:ext>
            </a:extLst>
          </xdr:cNvPr>
          <xdr:cNvSpPr/>
        </xdr:nvSpPr>
        <xdr:spPr>
          <a:xfrm>
            <a:off x="4433215" y="324402"/>
            <a:ext cx="3336365" cy="2323033"/>
          </a:xfrm>
          <a:custGeom>
            <a:avLst/>
            <a:gdLst>
              <a:gd name="connsiteX0" fmla="*/ 41 w 3336365"/>
              <a:gd name="connsiteY0" fmla="*/ 556054 h 2323033"/>
              <a:gd name="connsiteX1" fmla="*/ 123608 w 3336365"/>
              <a:gd name="connsiteY1" fmla="*/ 420129 h 2323033"/>
              <a:gd name="connsiteX2" fmla="*/ 284246 w 3336365"/>
              <a:gd name="connsiteY2" fmla="*/ 308919 h 2323033"/>
              <a:gd name="connsiteX3" fmla="*/ 395457 w 3336365"/>
              <a:gd name="connsiteY3" fmla="*/ 259491 h 2323033"/>
              <a:gd name="connsiteX4" fmla="*/ 519025 w 3336365"/>
              <a:gd name="connsiteY4" fmla="*/ 172994 h 2323033"/>
              <a:gd name="connsiteX5" fmla="*/ 667306 w 3336365"/>
              <a:gd name="connsiteY5" fmla="*/ 123567 h 2323033"/>
              <a:gd name="connsiteX6" fmla="*/ 778516 w 3336365"/>
              <a:gd name="connsiteY6" fmla="*/ 74140 h 2323033"/>
              <a:gd name="connsiteX7" fmla="*/ 951511 w 3336365"/>
              <a:gd name="connsiteY7" fmla="*/ 0 h 2323033"/>
              <a:gd name="connsiteX8" fmla="*/ 1198646 w 3336365"/>
              <a:gd name="connsiteY8" fmla="*/ 49427 h 2323033"/>
              <a:gd name="connsiteX9" fmla="*/ 1433425 w 3336365"/>
              <a:gd name="connsiteY9" fmla="*/ 123567 h 2323033"/>
              <a:gd name="connsiteX10" fmla="*/ 1556992 w 3336365"/>
              <a:gd name="connsiteY10" fmla="*/ 185351 h 2323033"/>
              <a:gd name="connsiteX11" fmla="*/ 1655846 w 3336365"/>
              <a:gd name="connsiteY11" fmla="*/ 271848 h 2323033"/>
              <a:gd name="connsiteX12" fmla="*/ 1705273 w 3336365"/>
              <a:gd name="connsiteY12" fmla="*/ 370702 h 2323033"/>
              <a:gd name="connsiteX13" fmla="*/ 1902981 w 3336365"/>
              <a:gd name="connsiteY13" fmla="*/ 345989 h 2323033"/>
              <a:gd name="connsiteX14" fmla="*/ 2236614 w 3336365"/>
              <a:gd name="connsiteY14" fmla="*/ 308919 h 2323033"/>
              <a:gd name="connsiteX15" fmla="*/ 2446679 w 3336365"/>
              <a:gd name="connsiteY15" fmla="*/ 358346 h 2323033"/>
              <a:gd name="connsiteX16" fmla="*/ 2471392 w 3336365"/>
              <a:gd name="connsiteY16" fmla="*/ 420129 h 2323033"/>
              <a:gd name="connsiteX17" fmla="*/ 2520819 w 3336365"/>
              <a:gd name="connsiteY17" fmla="*/ 593124 h 2323033"/>
              <a:gd name="connsiteX18" fmla="*/ 2508462 w 3336365"/>
              <a:gd name="connsiteY18" fmla="*/ 790832 h 2323033"/>
              <a:gd name="connsiteX19" fmla="*/ 2459035 w 3336365"/>
              <a:gd name="connsiteY19" fmla="*/ 840259 h 2323033"/>
              <a:gd name="connsiteX20" fmla="*/ 1915338 w 3336365"/>
              <a:gd name="connsiteY20" fmla="*/ 815546 h 2323033"/>
              <a:gd name="connsiteX21" fmla="*/ 1594062 w 3336365"/>
              <a:gd name="connsiteY21" fmla="*/ 815546 h 2323033"/>
              <a:gd name="connsiteX22" fmla="*/ 1717630 w 3336365"/>
              <a:gd name="connsiteY22" fmla="*/ 1013254 h 2323033"/>
              <a:gd name="connsiteX23" fmla="*/ 1964765 w 3336365"/>
              <a:gd name="connsiteY23" fmla="*/ 1149178 h 2323033"/>
              <a:gd name="connsiteX24" fmla="*/ 2261327 w 3336365"/>
              <a:gd name="connsiteY24" fmla="*/ 1260389 h 2323033"/>
              <a:gd name="connsiteX25" fmla="*/ 2360181 w 3336365"/>
              <a:gd name="connsiteY25" fmla="*/ 1297459 h 2323033"/>
              <a:gd name="connsiteX26" fmla="*/ 2409608 w 3336365"/>
              <a:gd name="connsiteY26" fmla="*/ 1334529 h 2323033"/>
              <a:gd name="connsiteX27" fmla="*/ 2496106 w 3336365"/>
              <a:gd name="connsiteY27" fmla="*/ 1346886 h 2323033"/>
              <a:gd name="connsiteX28" fmla="*/ 2706170 w 3336365"/>
              <a:gd name="connsiteY28" fmla="*/ 1322173 h 2323033"/>
              <a:gd name="connsiteX29" fmla="*/ 2916235 w 3336365"/>
              <a:gd name="connsiteY29" fmla="*/ 1248032 h 2323033"/>
              <a:gd name="connsiteX30" fmla="*/ 3052160 w 3336365"/>
              <a:gd name="connsiteY30" fmla="*/ 1359243 h 2323033"/>
              <a:gd name="connsiteX31" fmla="*/ 3336365 w 3336365"/>
              <a:gd name="connsiteY31" fmla="*/ 1841156 h 2323033"/>
              <a:gd name="connsiteX32" fmla="*/ 3286938 w 3336365"/>
              <a:gd name="connsiteY32" fmla="*/ 2026508 h 2323033"/>
              <a:gd name="connsiteX33" fmla="*/ 3163370 w 3336365"/>
              <a:gd name="connsiteY33" fmla="*/ 2075935 h 2323033"/>
              <a:gd name="connsiteX34" fmla="*/ 2953306 w 3336365"/>
              <a:gd name="connsiteY34" fmla="*/ 2137719 h 2323033"/>
              <a:gd name="connsiteX35" fmla="*/ 2693814 w 3336365"/>
              <a:gd name="connsiteY35" fmla="*/ 2174789 h 2323033"/>
              <a:gd name="connsiteX36" fmla="*/ 2594960 w 3336365"/>
              <a:gd name="connsiteY36" fmla="*/ 2199502 h 2323033"/>
              <a:gd name="connsiteX37" fmla="*/ 2496106 w 3336365"/>
              <a:gd name="connsiteY37" fmla="*/ 2211859 h 2323033"/>
              <a:gd name="connsiteX38" fmla="*/ 2360181 w 3336365"/>
              <a:gd name="connsiteY38" fmla="*/ 2224216 h 2323033"/>
              <a:gd name="connsiteX39" fmla="*/ 2248970 w 3336365"/>
              <a:gd name="connsiteY39" fmla="*/ 2236573 h 2323033"/>
              <a:gd name="connsiteX40" fmla="*/ 2063619 w 3336365"/>
              <a:gd name="connsiteY40" fmla="*/ 2261286 h 2323033"/>
              <a:gd name="connsiteX41" fmla="*/ 2014192 w 3336365"/>
              <a:gd name="connsiteY41" fmla="*/ 2273643 h 2323033"/>
              <a:gd name="connsiteX42" fmla="*/ 1767057 w 3336365"/>
              <a:gd name="connsiteY42" fmla="*/ 2286000 h 2323033"/>
              <a:gd name="connsiteX43" fmla="*/ 1346927 w 3336365"/>
              <a:gd name="connsiteY43" fmla="*/ 2063578 h 2323033"/>
              <a:gd name="connsiteX44" fmla="*/ 1260430 w 3336365"/>
              <a:gd name="connsiteY44" fmla="*/ 1952367 h 2323033"/>
              <a:gd name="connsiteX45" fmla="*/ 1235716 w 3336365"/>
              <a:gd name="connsiteY45" fmla="*/ 1902940 h 2323033"/>
              <a:gd name="connsiteX46" fmla="*/ 1223360 w 3336365"/>
              <a:gd name="connsiteY46" fmla="*/ 1865870 h 2323033"/>
              <a:gd name="connsiteX47" fmla="*/ 1186289 w 3336365"/>
              <a:gd name="connsiteY47" fmla="*/ 1841156 h 2323033"/>
              <a:gd name="connsiteX48" fmla="*/ 1124506 w 3336365"/>
              <a:gd name="connsiteY48" fmla="*/ 1791729 h 2323033"/>
              <a:gd name="connsiteX49" fmla="*/ 1112149 w 3336365"/>
              <a:gd name="connsiteY49" fmla="*/ 1729946 h 2323033"/>
              <a:gd name="connsiteX50" fmla="*/ 1099792 w 3336365"/>
              <a:gd name="connsiteY50" fmla="*/ 1606378 h 2323033"/>
              <a:gd name="connsiteX51" fmla="*/ 1075079 w 3336365"/>
              <a:gd name="connsiteY51" fmla="*/ 1569308 h 2323033"/>
              <a:gd name="connsiteX52" fmla="*/ 939154 w 3336365"/>
              <a:gd name="connsiteY52" fmla="*/ 1470454 h 2323033"/>
              <a:gd name="connsiteX53" fmla="*/ 852657 w 3336365"/>
              <a:gd name="connsiteY53" fmla="*/ 1396313 h 2323033"/>
              <a:gd name="connsiteX54" fmla="*/ 716733 w 3336365"/>
              <a:gd name="connsiteY54" fmla="*/ 1383956 h 2323033"/>
              <a:gd name="connsiteX55" fmla="*/ 704376 w 3336365"/>
              <a:gd name="connsiteY55" fmla="*/ 1334529 h 2323033"/>
              <a:gd name="connsiteX56" fmla="*/ 630235 w 3336365"/>
              <a:gd name="connsiteY56" fmla="*/ 1309816 h 2323033"/>
              <a:gd name="connsiteX57" fmla="*/ 617879 w 3336365"/>
              <a:gd name="connsiteY57" fmla="*/ 1272746 h 2323033"/>
              <a:gd name="connsiteX58" fmla="*/ 593165 w 3336365"/>
              <a:gd name="connsiteY58" fmla="*/ 1087394 h 2323033"/>
              <a:gd name="connsiteX59" fmla="*/ 494311 w 3336365"/>
              <a:gd name="connsiteY59" fmla="*/ 926756 h 2323033"/>
              <a:gd name="connsiteX60" fmla="*/ 457241 w 3336365"/>
              <a:gd name="connsiteY60" fmla="*/ 852616 h 2323033"/>
              <a:gd name="connsiteX61" fmla="*/ 333673 w 3336365"/>
              <a:gd name="connsiteY61" fmla="*/ 753762 h 2323033"/>
              <a:gd name="connsiteX62" fmla="*/ 284246 w 3336365"/>
              <a:gd name="connsiteY62" fmla="*/ 691978 h 2323033"/>
              <a:gd name="connsiteX63" fmla="*/ 173035 w 3336365"/>
              <a:gd name="connsiteY63" fmla="*/ 593124 h 2323033"/>
              <a:gd name="connsiteX64" fmla="*/ 135965 w 3336365"/>
              <a:gd name="connsiteY64" fmla="*/ 568410 h 2323033"/>
              <a:gd name="connsiteX65" fmla="*/ 41 w 3336365"/>
              <a:gd name="connsiteY65" fmla="*/ 556054 h 232303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</a:cxnLst>
            <a:rect l="l" t="t" r="r" b="b"/>
            <a:pathLst>
              <a:path w="3336365" h="2323033">
                <a:moveTo>
                  <a:pt x="41" y="556054"/>
                </a:moveTo>
                <a:cubicBezTo>
                  <a:pt x="-2018" y="531341"/>
                  <a:pt x="73239" y="459894"/>
                  <a:pt x="123608" y="420129"/>
                </a:cubicBezTo>
                <a:cubicBezTo>
                  <a:pt x="174724" y="379774"/>
                  <a:pt x="228178" y="342050"/>
                  <a:pt x="284246" y="308919"/>
                </a:cubicBezTo>
                <a:cubicBezTo>
                  <a:pt x="319171" y="288281"/>
                  <a:pt x="360349" y="279816"/>
                  <a:pt x="395457" y="259491"/>
                </a:cubicBezTo>
                <a:cubicBezTo>
                  <a:pt x="438969" y="234300"/>
                  <a:pt x="474055" y="195479"/>
                  <a:pt x="519025" y="172994"/>
                </a:cubicBezTo>
                <a:cubicBezTo>
                  <a:pt x="565625" y="149694"/>
                  <a:pt x="618619" y="142115"/>
                  <a:pt x="667306" y="123567"/>
                </a:cubicBezTo>
                <a:cubicBezTo>
                  <a:pt x="705215" y="109126"/>
                  <a:pt x="741129" y="89882"/>
                  <a:pt x="778516" y="74140"/>
                </a:cubicBezTo>
                <a:cubicBezTo>
                  <a:pt x="956708" y="-888"/>
                  <a:pt x="846825" y="52342"/>
                  <a:pt x="951511" y="0"/>
                </a:cubicBezTo>
                <a:cubicBezTo>
                  <a:pt x="1033889" y="16476"/>
                  <a:pt x="1116869" y="30185"/>
                  <a:pt x="1198646" y="49427"/>
                </a:cubicBezTo>
                <a:cubicBezTo>
                  <a:pt x="1259097" y="63651"/>
                  <a:pt x="1365471" y="91855"/>
                  <a:pt x="1433425" y="123567"/>
                </a:cubicBezTo>
                <a:cubicBezTo>
                  <a:pt x="1475155" y="143041"/>
                  <a:pt x="1518675" y="159807"/>
                  <a:pt x="1556992" y="185351"/>
                </a:cubicBezTo>
                <a:cubicBezTo>
                  <a:pt x="1593423" y="209638"/>
                  <a:pt x="1622895" y="243016"/>
                  <a:pt x="1655846" y="271848"/>
                </a:cubicBezTo>
                <a:cubicBezTo>
                  <a:pt x="1672322" y="304799"/>
                  <a:pt x="1669986" y="360116"/>
                  <a:pt x="1705273" y="370702"/>
                </a:cubicBezTo>
                <a:cubicBezTo>
                  <a:pt x="1768887" y="389786"/>
                  <a:pt x="1837010" y="353660"/>
                  <a:pt x="1902981" y="345989"/>
                </a:cubicBezTo>
                <a:lnTo>
                  <a:pt x="2236614" y="308919"/>
                </a:lnTo>
                <a:cubicBezTo>
                  <a:pt x="2306636" y="325395"/>
                  <a:pt x="2381670" y="327552"/>
                  <a:pt x="2446679" y="358346"/>
                </a:cubicBezTo>
                <a:cubicBezTo>
                  <a:pt x="2466725" y="367841"/>
                  <a:pt x="2464713" y="398978"/>
                  <a:pt x="2471392" y="420129"/>
                </a:cubicBezTo>
                <a:cubicBezTo>
                  <a:pt x="2489452" y="477318"/>
                  <a:pt x="2504343" y="535459"/>
                  <a:pt x="2520819" y="593124"/>
                </a:cubicBezTo>
                <a:cubicBezTo>
                  <a:pt x="2529797" y="673928"/>
                  <a:pt x="2548801" y="716877"/>
                  <a:pt x="2508462" y="790832"/>
                </a:cubicBezTo>
                <a:cubicBezTo>
                  <a:pt x="2497305" y="811287"/>
                  <a:pt x="2475511" y="823783"/>
                  <a:pt x="2459035" y="840259"/>
                </a:cubicBezTo>
                <a:cubicBezTo>
                  <a:pt x="2277803" y="832021"/>
                  <a:pt x="2096342" y="827817"/>
                  <a:pt x="1915338" y="815546"/>
                </a:cubicBezTo>
                <a:cubicBezTo>
                  <a:pt x="1623689" y="795773"/>
                  <a:pt x="1836122" y="771534"/>
                  <a:pt x="1594062" y="815546"/>
                </a:cubicBezTo>
                <a:cubicBezTo>
                  <a:pt x="1635251" y="881449"/>
                  <a:pt x="1666634" y="954609"/>
                  <a:pt x="1717630" y="1013254"/>
                </a:cubicBezTo>
                <a:cubicBezTo>
                  <a:pt x="1785435" y="1091230"/>
                  <a:pt x="1875784" y="1111043"/>
                  <a:pt x="1964765" y="1149178"/>
                </a:cubicBezTo>
                <a:cubicBezTo>
                  <a:pt x="2252464" y="1272478"/>
                  <a:pt x="1939684" y="1153175"/>
                  <a:pt x="2261327" y="1260389"/>
                </a:cubicBezTo>
                <a:cubicBezTo>
                  <a:pt x="2294713" y="1271518"/>
                  <a:pt x="2328704" y="1281721"/>
                  <a:pt x="2360181" y="1297459"/>
                </a:cubicBezTo>
                <a:cubicBezTo>
                  <a:pt x="2378601" y="1306669"/>
                  <a:pt x="2390253" y="1327491"/>
                  <a:pt x="2409608" y="1334529"/>
                </a:cubicBezTo>
                <a:cubicBezTo>
                  <a:pt x="2436980" y="1344482"/>
                  <a:pt x="2467273" y="1342767"/>
                  <a:pt x="2496106" y="1346886"/>
                </a:cubicBezTo>
                <a:cubicBezTo>
                  <a:pt x="2566127" y="1338648"/>
                  <a:pt x="2637540" y="1338321"/>
                  <a:pt x="2706170" y="1322173"/>
                </a:cubicBezTo>
                <a:cubicBezTo>
                  <a:pt x="2778451" y="1305166"/>
                  <a:pt x="2916235" y="1248032"/>
                  <a:pt x="2916235" y="1248032"/>
                </a:cubicBezTo>
                <a:cubicBezTo>
                  <a:pt x="2961543" y="1285102"/>
                  <a:pt x="3016682" y="1312678"/>
                  <a:pt x="3052160" y="1359243"/>
                </a:cubicBezTo>
                <a:cubicBezTo>
                  <a:pt x="3283676" y="1663108"/>
                  <a:pt x="3267489" y="1634525"/>
                  <a:pt x="3336365" y="1841156"/>
                </a:cubicBezTo>
                <a:cubicBezTo>
                  <a:pt x="3319889" y="1902940"/>
                  <a:pt x="3324869" y="1975030"/>
                  <a:pt x="3286938" y="2026508"/>
                </a:cubicBezTo>
                <a:cubicBezTo>
                  <a:pt x="3260622" y="2062222"/>
                  <a:pt x="3205456" y="2061906"/>
                  <a:pt x="3163370" y="2075935"/>
                </a:cubicBezTo>
                <a:cubicBezTo>
                  <a:pt x="3094128" y="2099016"/>
                  <a:pt x="3024728" y="2122683"/>
                  <a:pt x="2953306" y="2137719"/>
                </a:cubicBezTo>
                <a:cubicBezTo>
                  <a:pt x="2867805" y="2155719"/>
                  <a:pt x="2779919" y="2159943"/>
                  <a:pt x="2693814" y="2174789"/>
                </a:cubicBezTo>
                <a:cubicBezTo>
                  <a:pt x="2660342" y="2180560"/>
                  <a:pt x="2628344" y="2193243"/>
                  <a:pt x="2594960" y="2199502"/>
                </a:cubicBezTo>
                <a:cubicBezTo>
                  <a:pt x="2562321" y="2205622"/>
                  <a:pt x="2529131" y="2208383"/>
                  <a:pt x="2496106" y="2211859"/>
                </a:cubicBezTo>
                <a:cubicBezTo>
                  <a:pt x="2450861" y="2216622"/>
                  <a:pt x="2405450" y="2219689"/>
                  <a:pt x="2360181" y="2224216"/>
                </a:cubicBezTo>
                <a:cubicBezTo>
                  <a:pt x="2323068" y="2227927"/>
                  <a:pt x="2286040" y="2232454"/>
                  <a:pt x="2248970" y="2236573"/>
                </a:cubicBezTo>
                <a:cubicBezTo>
                  <a:pt x="2134656" y="2265150"/>
                  <a:pt x="2272043" y="2233496"/>
                  <a:pt x="2063619" y="2261286"/>
                </a:cubicBezTo>
                <a:cubicBezTo>
                  <a:pt x="2046785" y="2263531"/>
                  <a:pt x="2030668" y="2269524"/>
                  <a:pt x="2014192" y="2273643"/>
                </a:cubicBezTo>
                <a:cubicBezTo>
                  <a:pt x="1916870" y="2332036"/>
                  <a:pt x="1929734" y="2341775"/>
                  <a:pt x="1767057" y="2286000"/>
                </a:cubicBezTo>
                <a:cubicBezTo>
                  <a:pt x="1671268" y="2253158"/>
                  <a:pt x="1447915" y="2121285"/>
                  <a:pt x="1346927" y="2063578"/>
                </a:cubicBezTo>
                <a:cubicBezTo>
                  <a:pt x="1317536" y="2028309"/>
                  <a:pt x="1283645" y="1992993"/>
                  <a:pt x="1260430" y="1952367"/>
                </a:cubicBezTo>
                <a:cubicBezTo>
                  <a:pt x="1251291" y="1936374"/>
                  <a:pt x="1242972" y="1919871"/>
                  <a:pt x="1235716" y="1902940"/>
                </a:cubicBezTo>
                <a:cubicBezTo>
                  <a:pt x="1230585" y="1890968"/>
                  <a:pt x="1231497" y="1876041"/>
                  <a:pt x="1223360" y="1865870"/>
                </a:cubicBezTo>
                <a:cubicBezTo>
                  <a:pt x="1214083" y="1854273"/>
                  <a:pt x="1198170" y="1850067"/>
                  <a:pt x="1186289" y="1841156"/>
                </a:cubicBezTo>
                <a:cubicBezTo>
                  <a:pt x="1165190" y="1825332"/>
                  <a:pt x="1145100" y="1808205"/>
                  <a:pt x="1124506" y="1791729"/>
                </a:cubicBezTo>
                <a:cubicBezTo>
                  <a:pt x="1120387" y="1771135"/>
                  <a:pt x="1114925" y="1750764"/>
                  <a:pt x="1112149" y="1729946"/>
                </a:cubicBezTo>
                <a:cubicBezTo>
                  <a:pt x="1106678" y="1688914"/>
                  <a:pt x="1109100" y="1646713"/>
                  <a:pt x="1099792" y="1606378"/>
                </a:cubicBezTo>
                <a:cubicBezTo>
                  <a:pt x="1096453" y="1591908"/>
                  <a:pt x="1085014" y="1580347"/>
                  <a:pt x="1075079" y="1569308"/>
                </a:cubicBezTo>
                <a:cubicBezTo>
                  <a:pt x="989283" y="1473979"/>
                  <a:pt x="1022845" y="1491376"/>
                  <a:pt x="939154" y="1470454"/>
                </a:cubicBezTo>
                <a:cubicBezTo>
                  <a:pt x="930226" y="1461526"/>
                  <a:pt x="876607" y="1401445"/>
                  <a:pt x="852657" y="1396313"/>
                </a:cubicBezTo>
                <a:cubicBezTo>
                  <a:pt x="808172" y="1386780"/>
                  <a:pt x="762041" y="1388075"/>
                  <a:pt x="716733" y="1383956"/>
                </a:cubicBezTo>
                <a:cubicBezTo>
                  <a:pt x="712614" y="1367480"/>
                  <a:pt x="717270" y="1345581"/>
                  <a:pt x="704376" y="1334529"/>
                </a:cubicBezTo>
                <a:cubicBezTo>
                  <a:pt x="684597" y="1317576"/>
                  <a:pt x="630235" y="1309816"/>
                  <a:pt x="630235" y="1309816"/>
                </a:cubicBezTo>
                <a:cubicBezTo>
                  <a:pt x="626116" y="1297459"/>
                  <a:pt x="620020" y="1285594"/>
                  <a:pt x="617879" y="1272746"/>
                </a:cubicBezTo>
                <a:cubicBezTo>
                  <a:pt x="607632" y="1211263"/>
                  <a:pt x="614129" y="1146094"/>
                  <a:pt x="593165" y="1087394"/>
                </a:cubicBezTo>
                <a:cubicBezTo>
                  <a:pt x="572019" y="1028184"/>
                  <a:pt x="525812" y="981168"/>
                  <a:pt x="494311" y="926756"/>
                </a:cubicBezTo>
                <a:cubicBezTo>
                  <a:pt x="480467" y="902844"/>
                  <a:pt x="473492" y="874962"/>
                  <a:pt x="457241" y="852616"/>
                </a:cubicBezTo>
                <a:cubicBezTo>
                  <a:pt x="416587" y="796716"/>
                  <a:pt x="389003" y="786960"/>
                  <a:pt x="333673" y="753762"/>
                </a:cubicBezTo>
                <a:cubicBezTo>
                  <a:pt x="317197" y="733167"/>
                  <a:pt x="301613" y="711826"/>
                  <a:pt x="284246" y="691978"/>
                </a:cubicBezTo>
                <a:cubicBezTo>
                  <a:pt x="255073" y="658638"/>
                  <a:pt x="204186" y="617353"/>
                  <a:pt x="173035" y="593124"/>
                </a:cubicBezTo>
                <a:cubicBezTo>
                  <a:pt x="161312" y="584006"/>
                  <a:pt x="149615" y="574260"/>
                  <a:pt x="135965" y="568410"/>
                </a:cubicBezTo>
                <a:cubicBezTo>
                  <a:pt x="100142" y="553057"/>
                  <a:pt x="2100" y="580767"/>
                  <a:pt x="41" y="556054"/>
                </a:cubicBezTo>
                <a:close/>
              </a:path>
            </a:pathLst>
          </a:custGeom>
          <a:solidFill>
            <a:schemeClr val="tx2">
              <a:lumMod val="25000"/>
              <a:lumOff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>
                <a:solidFill>
                  <a:sysClr val="windowText" lastClr="000000"/>
                </a:solidFill>
              </a:rPr>
              <a:t>3</a:t>
            </a:r>
          </a:p>
        </xdr:txBody>
      </xdr:sp>
      <xdr:sp macro="" textlink="">
        <xdr:nvSpPr>
          <xdr:cNvPr id="9" name="Freeform: Shape 8">
            <a:extLst>
              <a:ext uri="{FF2B5EF4-FFF2-40B4-BE49-F238E27FC236}">
                <a16:creationId xmlns:a16="http://schemas.microsoft.com/office/drawing/2014/main" id="{AE6379DE-7132-AA0B-E460-E6DA0B96F9FD}"/>
              </a:ext>
            </a:extLst>
          </xdr:cNvPr>
          <xdr:cNvSpPr/>
        </xdr:nvSpPr>
        <xdr:spPr>
          <a:xfrm>
            <a:off x="3818073" y="2075935"/>
            <a:ext cx="3670447" cy="1532238"/>
          </a:xfrm>
          <a:custGeom>
            <a:avLst/>
            <a:gdLst>
              <a:gd name="connsiteX0" fmla="*/ 531505 w 3670447"/>
              <a:gd name="connsiteY0" fmla="*/ 61784 h 1532238"/>
              <a:gd name="connsiteX1" fmla="*/ 432651 w 3670447"/>
              <a:gd name="connsiteY1" fmla="*/ 148281 h 1532238"/>
              <a:gd name="connsiteX2" fmla="*/ 12522 w 3670447"/>
              <a:gd name="connsiteY2" fmla="*/ 420130 h 1532238"/>
              <a:gd name="connsiteX3" fmla="*/ 165 w 3670447"/>
              <a:gd name="connsiteY3" fmla="*/ 531341 h 1532238"/>
              <a:gd name="connsiteX4" fmla="*/ 24878 w 3670447"/>
              <a:gd name="connsiteY4" fmla="*/ 716692 h 1532238"/>
              <a:gd name="connsiteX5" fmla="*/ 86662 w 3670447"/>
              <a:gd name="connsiteY5" fmla="*/ 852616 h 1532238"/>
              <a:gd name="connsiteX6" fmla="*/ 123732 w 3670447"/>
              <a:gd name="connsiteY6" fmla="*/ 877330 h 1532238"/>
              <a:gd name="connsiteX7" fmla="*/ 445008 w 3670447"/>
              <a:gd name="connsiteY7" fmla="*/ 988541 h 1532238"/>
              <a:gd name="connsiteX8" fmla="*/ 729213 w 3670447"/>
              <a:gd name="connsiteY8" fmla="*/ 1075038 h 1532238"/>
              <a:gd name="connsiteX9" fmla="*/ 1557116 w 3670447"/>
              <a:gd name="connsiteY9" fmla="*/ 1210962 h 1532238"/>
              <a:gd name="connsiteX10" fmla="*/ 2063743 w 3670447"/>
              <a:gd name="connsiteY10" fmla="*/ 1297460 h 1532238"/>
              <a:gd name="connsiteX11" fmla="*/ 2533300 w 3670447"/>
              <a:gd name="connsiteY11" fmla="*/ 1359243 h 1532238"/>
              <a:gd name="connsiteX12" fmla="*/ 2916359 w 3670447"/>
              <a:gd name="connsiteY12" fmla="*/ 1458097 h 1532238"/>
              <a:gd name="connsiteX13" fmla="*/ 3015213 w 3670447"/>
              <a:gd name="connsiteY13" fmla="*/ 1482811 h 1532238"/>
              <a:gd name="connsiteX14" fmla="*/ 3274705 w 3670447"/>
              <a:gd name="connsiteY14" fmla="*/ 1532238 h 1532238"/>
              <a:gd name="connsiteX15" fmla="*/ 3484770 w 3670447"/>
              <a:gd name="connsiteY15" fmla="*/ 1519881 h 1532238"/>
              <a:gd name="connsiteX16" fmla="*/ 3521841 w 3670447"/>
              <a:gd name="connsiteY16" fmla="*/ 1495168 h 1532238"/>
              <a:gd name="connsiteX17" fmla="*/ 3633051 w 3670447"/>
              <a:gd name="connsiteY17" fmla="*/ 1322173 h 1532238"/>
              <a:gd name="connsiteX18" fmla="*/ 3670122 w 3670447"/>
              <a:gd name="connsiteY18" fmla="*/ 1149179 h 1532238"/>
              <a:gd name="connsiteX19" fmla="*/ 3583624 w 3670447"/>
              <a:gd name="connsiteY19" fmla="*/ 864973 h 1532238"/>
              <a:gd name="connsiteX20" fmla="*/ 3460057 w 3670447"/>
              <a:gd name="connsiteY20" fmla="*/ 716692 h 1532238"/>
              <a:gd name="connsiteX21" fmla="*/ 3410630 w 3670447"/>
              <a:gd name="connsiteY21" fmla="*/ 679622 h 1532238"/>
              <a:gd name="connsiteX22" fmla="*/ 3398273 w 3670447"/>
              <a:gd name="connsiteY22" fmla="*/ 617838 h 1532238"/>
              <a:gd name="connsiteX23" fmla="*/ 3373559 w 3670447"/>
              <a:gd name="connsiteY23" fmla="*/ 469557 h 1532238"/>
              <a:gd name="connsiteX24" fmla="*/ 3324132 w 3670447"/>
              <a:gd name="connsiteY24" fmla="*/ 395416 h 1532238"/>
              <a:gd name="connsiteX25" fmla="*/ 3262349 w 3670447"/>
              <a:gd name="connsiteY25" fmla="*/ 383060 h 1532238"/>
              <a:gd name="connsiteX26" fmla="*/ 3163495 w 3670447"/>
              <a:gd name="connsiteY26" fmla="*/ 407773 h 1532238"/>
              <a:gd name="connsiteX27" fmla="*/ 3114068 w 3670447"/>
              <a:gd name="connsiteY27" fmla="*/ 432487 h 1532238"/>
              <a:gd name="connsiteX28" fmla="*/ 3039927 w 3670447"/>
              <a:gd name="connsiteY28" fmla="*/ 420130 h 1532238"/>
              <a:gd name="connsiteX29" fmla="*/ 2310878 w 3670447"/>
              <a:gd name="connsiteY29" fmla="*/ 432487 h 1532238"/>
              <a:gd name="connsiteX30" fmla="*/ 2224381 w 3670447"/>
              <a:gd name="connsiteY30" fmla="*/ 407773 h 1532238"/>
              <a:gd name="connsiteX31" fmla="*/ 2150241 w 3670447"/>
              <a:gd name="connsiteY31" fmla="*/ 308919 h 1532238"/>
              <a:gd name="connsiteX32" fmla="*/ 2076100 w 3670447"/>
              <a:gd name="connsiteY32" fmla="*/ 197708 h 1532238"/>
              <a:gd name="connsiteX33" fmla="*/ 2051386 w 3670447"/>
              <a:gd name="connsiteY33" fmla="*/ 148281 h 1532238"/>
              <a:gd name="connsiteX34" fmla="*/ 2001959 w 3670447"/>
              <a:gd name="connsiteY34" fmla="*/ 74141 h 1532238"/>
              <a:gd name="connsiteX35" fmla="*/ 1989603 w 3670447"/>
              <a:gd name="connsiteY35" fmla="*/ 37070 h 1532238"/>
              <a:gd name="connsiteX36" fmla="*/ 1927819 w 3670447"/>
              <a:gd name="connsiteY36" fmla="*/ 24714 h 1532238"/>
              <a:gd name="connsiteX37" fmla="*/ 1816608 w 3670447"/>
              <a:gd name="connsiteY37" fmla="*/ 0 h 1532238"/>
              <a:gd name="connsiteX38" fmla="*/ 1482976 w 3670447"/>
              <a:gd name="connsiteY38" fmla="*/ 24714 h 1532238"/>
              <a:gd name="connsiteX39" fmla="*/ 1235841 w 3670447"/>
              <a:gd name="connsiteY39" fmla="*/ 123568 h 1532238"/>
              <a:gd name="connsiteX40" fmla="*/ 1174057 w 3670447"/>
              <a:gd name="connsiteY40" fmla="*/ 160638 h 1532238"/>
              <a:gd name="connsiteX41" fmla="*/ 1124630 w 3670447"/>
              <a:gd name="connsiteY41" fmla="*/ 197708 h 1532238"/>
              <a:gd name="connsiteX42" fmla="*/ 926922 w 3670447"/>
              <a:gd name="connsiteY42" fmla="*/ 210065 h 1532238"/>
              <a:gd name="connsiteX43" fmla="*/ 741570 w 3670447"/>
              <a:gd name="connsiteY43" fmla="*/ 197708 h 1532238"/>
              <a:gd name="connsiteX44" fmla="*/ 642716 w 3670447"/>
              <a:gd name="connsiteY44" fmla="*/ 111211 h 1532238"/>
              <a:gd name="connsiteX45" fmla="*/ 580932 w 3670447"/>
              <a:gd name="connsiteY45" fmla="*/ 98854 h 1532238"/>
              <a:gd name="connsiteX46" fmla="*/ 531505 w 3670447"/>
              <a:gd name="connsiteY46" fmla="*/ 61784 h 153223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</a:cxnLst>
            <a:rect l="l" t="t" r="r" b="b"/>
            <a:pathLst>
              <a:path w="3670447" h="1532238">
                <a:moveTo>
                  <a:pt x="531505" y="61784"/>
                </a:moveTo>
                <a:cubicBezTo>
                  <a:pt x="506792" y="70022"/>
                  <a:pt x="468930" y="123768"/>
                  <a:pt x="432651" y="148281"/>
                </a:cubicBezTo>
                <a:cubicBezTo>
                  <a:pt x="-116487" y="519321"/>
                  <a:pt x="215673" y="257607"/>
                  <a:pt x="12522" y="420130"/>
                </a:cubicBezTo>
                <a:cubicBezTo>
                  <a:pt x="8403" y="457200"/>
                  <a:pt x="-1388" y="494075"/>
                  <a:pt x="165" y="531341"/>
                </a:cubicBezTo>
                <a:cubicBezTo>
                  <a:pt x="2760" y="593617"/>
                  <a:pt x="8674" y="656505"/>
                  <a:pt x="24878" y="716692"/>
                </a:cubicBezTo>
                <a:cubicBezTo>
                  <a:pt x="37817" y="764750"/>
                  <a:pt x="60578" y="810230"/>
                  <a:pt x="86662" y="852616"/>
                </a:cubicBezTo>
                <a:cubicBezTo>
                  <a:pt x="94445" y="865264"/>
                  <a:pt x="109846" y="872063"/>
                  <a:pt x="123732" y="877330"/>
                </a:cubicBezTo>
                <a:cubicBezTo>
                  <a:pt x="229692" y="917522"/>
                  <a:pt x="337279" y="953364"/>
                  <a:pt x="445008" y="988541"/>
                </a:cubicBezTo>
                <a:cubicBezTo>
                  <a:pt x="539142" y="1019279"/>
                  <a:pt x="633499" y="1049644"/>
                  <a:pt x="729213" y="1075038"/>
                </a:cubicBezTo>
                <a:cubicBezTo>
                  <a:pt x="1156425" y="1188380"/>
                  <a:pt x="1034009" y="1134410"/>
                  <a:pt x="1557116" y="1210962"/>
                </a:cubicBezTo>
                <a:cubicBezTo>
                  <a:pt x="1726630" y="1235769"/>
                  <a:pt x="1894367" y="1271732"/>
                  <a:pt x="2063743" y="1297460"/>
                </a:cubicBezTo>
                <a:cubicBezTo>
                  <a:pt x="2219821" y="1321168"/>
                  <a:pt x="2376781" y="1338649"/>
                  <a:pt x="2533300" y="1359243"/>
                </a:cubicBezTo>
                <a:lnTo>
                  <a:pt x="2916359" y="1458097"/>
                </a:lnTo>
                <a:cubicBezTo>
                  <a:pt x="2949260" y="1466533"/>
                  <a:pt x="2981847" y="1476456"/>
                  <a:pt x="3015213" y="1482811"/>
                </a:cubicBezTo>
                <a:lnTo>
                  <a:pt x="3274705" y="1532238"/>
                </a:lnTo>
                <a:cubicBezTo>
                  <a:pt x="3344727" y="1528119"/>
                  <a:pt x="3415403" y="1530286"/>
                  <a:pt x="3484770" y="1519881"/>
                </a:cubicBezTo>
                <a:cubicBezTo>
                  <a:pt x="3499457" y="1517678"/>
                  <a:pt x="3512930" y="1507049"/>
                  <a:pt x="3521841" y="1495168"/>
                </a:cubicBezTo>
                <a:cubicBezTo>
                  <a:pt x="3562972" y="1440326"/>
                  <a:pt x="3595981" y="1379838"/>
                  <a:pt x="3633051" y="1322173"/>
                </a:cubicBezTo>
                <a:cubicBezTo>
                  <a:pt x="3645408" y="1264508"/>
                  <a:pt x="3667939" y="1208112"/>
                  <a:pt x="3670122" y="1149179"/>
                </a:cubicBezTo>
                <a:cubicBezTo>
                  <a:pt x="3674224" y="1038432"/>
                  <a:pt x="3639190" y="955899"/>
                  <a:pt x="3583624" y="864973"/>
                </a:cubicBezTo>
                <a:cubicBezTo>
                  <a:pt x="3553374" y="815473"/>
                  <a:pt x="3505873" y="756781"/>
                  <a:pt x="3460057" y="716692"/>
                </a:cubicBezTo>
                <a:cubicBezTo>
                  <a:pt x="3444558" y="703130"/>
                  <a:pt x="3427106" y="691979"/>
                  <a:pt x="3410630" y="679622"/>
                </a:cubicBezTo>
                <a:cubicBezTo>
                  <a:pt x="3406511" y="659027"/>
                  <a:pt x="3401923" y="638521"/>
                  <a:pt x="3398273" y="617838"/>
                </a:cubicBezTo>
                <a:cubicBezTo>
                  <a:pt x="3389565" y="568492"/>
                  <a:pt x="3401354" y="511250"/>
                  <a:pt x="3373559" y="469557"/>
                </a:cubicBezTo>
                <a:cubicBezTo>
                  <a:pt x="3357083" y="444843"/>
                  <a:pt x="3353257" y="401241"/>
                  <a:pt x="3324132" y="395416"/>
                </a:cubicBezTo>
                <a:lnTo>
                  <a:pt x="3262349" y="383060"/>
                </a:lnTo>
                <a:cubicBezTo>
                  <a:pt x="3229398" y="391298"/>
                  <a:pt x="3195717" y="397032"/>
                  <a:pt x="3163495" y="407773"/>
                </a:cubicBezTo>
                <a:cubicBezTo>
                  <a:pt x="3146020" y="413598"/>
                  <a:pt x="3132397" y="430654"/>
                  <a:pt x="3114068" y="432487"/>
                </a:cubicBezTo>
                <a:cubicBezTo>
                  <a:pt x="3089138" y="434980"/>
                  <a:pt x="3064641" y="424249"/>
                  <a:pt x="3039927" y="420130"/>
                </a:cubicBezTo>
                <a:cubicBezTo>
                  <a:pt x="2813398" y="430917"/>
                  <a:pt x="2547014" y="462004"/>
                  <a:pt x="2310878" y="432487"/>
                </a:cubicBezTo>
                <a:cubicBezTo>
                  <a:pt x="2281123" y="428768"/>
                  <a:pt x="2253213" y="416011"/>
                  <a:pt x="2224381" y="407773"/>
                </a:cubicBezTo>
                <a:cubicBezTo>
                  <a:pt x="2159155" y="342547"/>
                  <a:pt x="2211658" y="401044"/>
                  <a:pt x="2150241" y="308919"/>
                </a:cubicBezTo>
                <a:cubicBezTo>
                  <a:pt x="2088318" y="216035"/>
                  <a:pt x="2135942" y="305424"/>
                  <a:pt x="2076100" y="197708"/>
                </a:cubicBezTo>
                <a:cubicBezTo>
                  <a:pt x="2067154" y="181606"/>
                  <a:pt x="2060863" y="164076"/>
                  <a:pt x="2051386" y="148281"/>
                </a:cubicBezTo>
                <a:cubicBezTo>
                  <a:pt x="2036104" y="122812"/>
                  <a:pt x="2001959" y="74141"/>
                  <a:pt x="2001959" y="74141"/>
                </a:cubicBezTo>
                <a:cubicBezTo>
                  <a:pt x="1997840" y="61784"/>
                  <a:pt x="2000441" y="44295"/>
                  <a:pt x="1989603" y="37070"/>
                </a:cubicBezTo>
                <a:cubicBezTo>
                  <a:pt x="1972128" y="25420"/>
                  <a:pt x="1948321" y="29270"/>
                  <a:pt x="1927819" y="24714"/>
                </a:cubicBezTo>
                <a:cubicBezTo>
                  <a:pt x="1770700" y="-10201"/>
                  <a:pt x="2003030" y="37285"/>
                  <a:pt x="1816608" y="0"/>
                </a:cubicBezTo>
                <a:cubicBezTo>
                  <a:pt x="1813084" y="235"/>
                  <a:pt x="1507681" y="19567"/>
                  <a:pt x="1482976" y="24714"/>
                </a:cubicBezTo>
                <a:cubicBezTo>
                  <a:pt x="1393088" y="43441"/>
                  <a:pt x="1315292" y="80787"/>
                  <a:pt x="1235841" y="123568"/>
                </a:cubicBezTo>
                <a:cubicBezTo>
                  <a:pt x="1214694" y="134955"/>
                  <a:pt x="1194041" y="147316"/>
                  <a:pt x="1174057" y="160638"/>
                </a:cubicBezTo>
                <a:cubicBezTo>
                  <a:pt x="1156921" y="172062"/>
                  <a:pt x="1144825" y="193669"/>
                  <a:pt x="1124630" y="197708"/>
                </a:cubicBezTo>
                <a:cubicBezTo>
                  <a:pt x="1059881" y="210658"/>
                  <a:pt x="992825" y="205946"/>
                  <a:pt x="926922" y="210065"/>
                </a:cubicBezTo>
                <a:cubicBezTo>
                  <a:pt x="865138" y="205946"/>
                  <a:pt x="801642" y="212726"/>
                  <a:pt x="741570" y="197708"/>
                </a:cubicBezTo>
                <a:cubicBezTo>
                  <a:pt x="663897" y="178290"/>
                  <a:pt x="699922" y="139814"/>
                  <a:pt x="642716" y="111211"/>
                </a:cubicBezTo>
                <a:cubicBezTo>
                  <a:pt x="623931" y="101818"/>
                  <a:pt x="601307" y="103948"/>
                  <a:pt x="580932" y="98854"/>
                </a:cubicBezTo>
                <a:cubicBezTo>
                  <a:pt x="526295" y="85194"/>
                  <a:pt x="556218" y="53546"/>
                  <a:pt x="531505" y="61784"/>
                </a:cubicBezTo>
                <a:close/>
              </a:path>
            </a:pathLst>
          </a:custGeom>
          <a:solidFill>
            <a:schemeClr val="tx2">
              <a:lumMod val="25000"/>
              <a:lumOff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>
                <a:solidFill>
                  <a:sysClr val="windowText" lastClr="000000"/>
                </a:solidFill>
              </a:rPr>
              <a:t>5</a:t>
            </a:r>
          </a:p>
        </xdr:txBody>
      </xdr:sp>
      <xdr:sp macro="" textlink="">
        <xdr:nvSpPr>
          <xdr:cNvPr id="10" name="Freeform: Shape 9">
            <a:extLst>
              <a:ext uri="{FF2B5EF4-FFF2-40B4-BE49-F238E27FC236}">
                <a16:creationId xmlns:a16="http://schemas.microsoft.com/office/drawing/2014/main" id="{6FDEF1EF-634A-5703-3FEB-BA85E5F766F5}"/>
              </a:ext>
            </a:extLst>
          </xdr:cNvPr>
          <xdr:cNvSpPr/>
        </xdr:nvSpPr>
        <xdr:spPr>
          <a:xfrm>
            <a:off x="7003439" y="2201578"/>
            <a:ext cx="1087395" cy="1482811"/>
          </a:xfrm>
          <a:custGeom>
            <a:avLst/>
            <a:gdLst>
              <a:gd name="connsiteX0" fmla="*/ 778476 w 1087395"/>
              <a:gd name="connsiteY0" fmla="*/ 0 h 1482811"/>
              <a:gd name="connsiteX1" fmla="*/ 790833 w 1087395"/>
              <a:gd name="connsiteY1" fmla="*/ 61784 h 1482811"/>
              <a:gd name="connsiteX2" fmla="*/ 840260 w 1087395"/>
              <a:gd name="connsiteY2" fmla="*/ 234779 h 1482811"/>
              <a:gd name="connsiteX3" fmla="*/ 914400 w 1087395"/>
              <a:gd name="connsiteY3" fmla="*/ 543698 h 1482811"/>
              <a:gd name="connsiteX4" fmla="*/ 963827 w 1087395"/>
              <a:gd name="connsiteY4" fmla="*/ 679622 h 1482811"/>
              <a:gd name="connsiteX5" fmla="*/ 988541 w 1087395"/>
              <a:gd name="connsiteY5" fmla="*/ 778476 h 1482811"/>
              <a:gd name="connsiteX6" fmla="*/ 1037968 w 1087395"/>
              <a:gd name="connsiteY6" fmla="*/ 877330 h 1482811"/>
              <a:gd name="connsiteX7" fmla="*/ 1062681 w 1087395"/>
              <a:gd name="connsiteY7" fmla="*/ 951471 h 1482811"/>
              <a:gd name="connsiteX8" fmla="*/ 1087395 w 1087395"/>
              <a:gd name="connsiteY8" fmla="*/ 1013255 h 1482811"/>
              <a:gd name="connsiteX9" fmla="*/ 1050325 w 1087395"/>
              <a:gd name="connsiteY9" fmla="*/ 1149179 h 1482811"/>
              <a:gd name="connsiteX10" fmla="*/ 1037968 w 1087395"/>
              <a:gd name="connsiteY10" fmla="*/ 1186249 h 1482811"/>
              <a:gd name="connsiteX11" fmla="*/ 988541 w 1087395"/>
              <a:gd name="connsiteY11" fmla="*/ 1260390 h 1482811"/>
              <a:gd name="connsiteX12" fmla="*/ 815546 w 1087395"/>
              <a:gd name="connsiteY12" fmla="*/ 1433384 h 1482811"/>
              <a:gd name="connsiteX13" fmla="*/ 691979 w 1087395"/>
              <a:gd name="connsiteY13" fmla="*/ 1482811 h 1482811"/>
              <a:gd name="connsiteX14" fmla="*/ 543698 w 1087395"/>
              <a:gd name="connsiteY14" fmla="*/ 1470455 h 1482811"/>
              <a:gd name="connsiteX15" fmla="*/ 494270 w 1087395"/>
              <a:gd name="connsiteY15" fmla="*/ 1433384 h 1482811"/>
              <a:gd name="connsiteX16" fmla="*/ 321276 w 1087395"/>
              <a:gd name="connsiteY16" fmla="*/ 1371600 h 1482811"/>
              <a:gd name="connsiteX17" fmla="*/ 271849 w 1087395"/>
              <a:gd name="connsiteY17" fmla="*/ 1334530 h 1482811"/>
              <a:gd name="connsiteX18" fmla="*/ 284206 w 1087395"/>
              <a:gd name="connsiteY18" fmla="*/ 1272746 h 1482811"/>
              <a:gd name="connsiteX19" fmla="*/ 345989 w 1087395"/>
              <a:gd name="connsiteY19" fmla="*/ 1124465 h 1482811"/>
              <a:gd name="connsiteX20" fmla="*/ 395416 w 1087395"/>
              <a:gd name="connsiteY20" fmla="*/ 1050325 h 1482811"/>
              <a:gd name="connsiteX21" fmla="*/ 407773 w 1087395"/>
              <a:gd name="connsiteY21" fmla="*/ 976184 h 1482811"/>
              <a:gd name="connsiteX22" fmla="*/ 321276 w 1087395"/>
              <a:gd name="connsiteY22" fmla="*/ 827903 h 1482811"/>
              <a:gd name="connsiteX23" fmla="*/ 259492 w 1087395"/>
              <a:gd name="connsiteY23" fmla="*/ 766119 h 1482811"/>
              <a:gd name="connsiteX24" fmla="*/ 234779 w 1087395"/>
              <a:gd name="connsiteY24" fmla="*/ 729049 h 1482811"/>
              <a:gd name="connsiteX25" fmla="*/ 135925 w 1087395"/>
              <a:gd name="connsiteY25" fmla="*/ 605482 h 1482811"/>
              <a:gd name="connsiteX26" fmla="*/ 111211 w 1087395"/>
              <a:gd name="connsiteY26" fmla="*/ 506627 h 1482811"/>
              <a:gd name="connsiteX27" fmla="*/ 0 w 1087395"/>
              <a:gd name="connsiteY27" fmla="*/ 259492 h 1482811"/>
              <a:gd name="connsiteX28" fmla="*/ 123568 w 1087395"/>
              <a:gd name="connsiteY28" fmla="*/ 148282 h 1482811"/>
              <a:gd name="connsiteX29" fmla="*/ 284206 w 1087395"/>
              <a:gd name="connsiteY29" fmla="*/ 111211 h 1482811"/>
              <a:gd name="connsiteX30" fmla="*/ 321276 w 1087395"/>
              <a:gd name="connsiteY30" fmla="*/ 98855 h 1482811"/>
              <a:gd name="connsiteX31" fmla="*/ 642552 w 1087395"/>
              <a:gd name="connsiteY31" fmla="*/ 74141 h 1482811"/>
              <a:gd name="connsiteX32" fmla="*/ 729049 w 1087395"/>
              <a:gd name="connsiteY32" fmla="*/ 61784 h 1482811"/>
              <a:gd name="connsiteX33" fmla="*/ 778476 w 1087395"/>
              <a:gd name="connsiteY33" fmla="*/ 0 h 148281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</a:cxnLst>
            <a:rect l="l" t="t" r="r" b="b"/>
            <a:pathLst>
              <a:path w="1087395" h="1482811">
                <a:moveTo>
                  <a:pt x="778476" y="0"/>
                </a:moveTo>
                <a:cubicBezTo>
                  <a:pt x="788773" y="0"/>
                  <a:pt x="785488" y="41473"/>
                  <a:pt x="790833" y="61784"/>
                </a:cubicBezTo>
                <a:cubicBezTo>
                  <a:pt x="806096" y="119782"/>
                  <a:pt x="827694" y="176138"/>
                  <a:pt x="840260" y="234779"/>
                </a:cubicBezTo>
                <a:cubicBezTo>
                  <a:pt x="864469" y="347755"/>
                  <a:pt x="879891" y="435240"/>
                  <a:pt x="914400" y="543698"/>
                </a:cubicBezTo>
                <a:cubicBezTo>
                  <a:pt x="929018" y="589639"/>
                  <a:pt x="949309" y="633649"/>
                  <a:pt x="963827" y="679622"/>
                </a:cubicBezTo>
                <a:cubicBezTo>
                  <a:pt x="974055" y="712011"/>
                  <a:pt x="976615" y="746673"/>
                  <a:pt x="988541" y="778476"/>
                </a:cubicBezTo>
                <a:cubicBezTo>
                  <a:pt x="1001477" y="812971"/>
                  <a:pt x="1023456" y="843468"/>
                  <a:pt x="1037968" y="877330"/>
                </a:cubicBezTo>
                <a:cubicBezTo>
                  <a:pt x="1048230" y="901274"/>
                  <a:pt x="1053778" y="926989"/>
                  <a:pt x="1062681" y="951471"/>
                </a:cubicBezTo>
                <a:cubicBezTo>
                  <a:pt x="1070261" y="972317"/>
                  <a:pt x="1079157" y="992660"/>
                  <a:pt x="1087395" y="1013255"/>
                </a:cubicBezTo>
                <a:cubicBezTo>
                  <a:pt x="1075038" y="1058563"/>
                  <a:pt x="1063227" y="1104023"/>
                  <a:pt x="1050325" y="1149179"/>
                </a:cubicBezTo>
                <a:cubicBezTo>
                  <a:pt x="1046747" y="1161703"/>
                  <a:pt x="1044294" y="1174863"/>
                  <a:pt x="1037968" y="1186249"/>
                </a:cubicBezTo>
                <a:cubicBezTo>
                  <a:pt x="1023543" y="1212213"/>
                  <a:pt x="1008411" y="1238313"/>
                  <a:pt x="988541" y="1260390"/>
                </a:cubicBezTo>
                <a:cubicBezTo>
                  <a:pt x="933987" y="1321006"/>
                  <a:pt x="892911" y="1407595"/>
                  <a:pt x="815546" y="1433384"/>
                </a:cubicBezTo>
                <a:cubicBezTo>
                  <a:pt x="723931" y="1463923"/>
                  <a:pt x="764706" y="1446448"/>
                  <a:pt x="691979" y="1482811"/>
                </a:cubicBezTo>
                <a:cubicBezTo>
                  <a:pt x="642552" y="1478692"/>
                  <a:pt x="591815" y="1482484"/>
                  <a:pt x="543698" y="1470455"/>
                </a:cubicBezTo>
                <a:cubicBezTo>
                  <a:pt x="523718" y="1465460"/>
                  <a:pt x="511735" y="1444299"/>
                  <a:pt x="494270" y="1433384"/>
                </a:cubicBezTo>
                <a:cubicBezTo>
                  <a:pt x="440187" y="1399582"/>
                  <a:pt x="383564" y="1390287"/>
                  <a:pt x="321276" y="1371600"/>
                </a:cubicBezTo>
                <a:cubicBezTo>
                  <a:pt x="304800" y="1359243"/>
                  <a:pt x="279080" y="1353813"/>
                  <a:pt x="271849" y="1334530"/>
                </a:cubicBezTo>
                <a:cubicBezTo>
                  <a:pt x="264475" y="1314865"/>
                  <a:pt x="279112" y="1293121"/>
                  <a:pt x="284206" y="1272746"/>
                </a:cubicBezTo>
                <a:cubicBezTo>
                  <a:pt x="306500" y="1183568"/>
                  <a:pt x="300713" y="1195613"/>
                  <a:pt x="345989" y="1124465"/>
                </a:cubicBezTo>
                <a:cubicBezTo>
                  <a:pt x="361935" y="1099407"/>
                  <a:pt x="395416" y="1050325"/>
                  <a:pt x="395416" y="1050325"/>
                </a:cubicBezTo>
                <a:cubicBezTo>
                  <a:pt x="399535" y="1025611"/>
                  <a:pt x="409854" y="1001152"/>
                  <a:pt x="407773" y="976184"/>
                </a:cubicBezTo>
                <a:cubicBezTo>
                  <a:pt x="402275" y="910205"/>
                  <a:pt x="363445" y="874289"/>
                  <a:pt x="321276" y="827903"/>
                </a:cubicBezTo>
                <a:cubicBezTo>
                  <a:pt x="301684" y="806352"/>
                  <a:pt x="278671" y="788038"/>
                  <a:pt x="259492" y="766119"/>
                </a:cubicBezTo>
                <a:cubicBezTo>
                  <a:pt x="249713" y="754943"/>
                  <a:pt x="244444" y="740325"/>
                  <a:pt x="234779" y="729049"/>
                </a:cubicBezTo>
                <a:cubicBezTo>
                  <a:pt x="129132" y="605794"/>
                  <a:pt x="243170" y="766348"/>
                  <a:pt x="135925" y="605482"/>
                </a:cubicBezTo>
                <a:cubicBezTo>
                  <a:pt x="127687" y="572530"/>
                  <a:pt x="123826" y="538163"/>
                  <a:pt x="111211" y="506627"/>
                </a:cubicBezTo>
                <a:cubicBezTo>
                  <a:pt x="28150" y="298977"/>
                  <a:pt x="71306" y="378336"/>
                  <a:pt x="0" y="259492"/>
                </a:cubicBezTo>
                <a:cubicBezTo>
                  <a:pt x="45785" y="202261"/>
                  <a:pt x="52480" y="181092"/>
                  <a:pt x="123568" y="148282"/>
                </a:cubicBezTo>
                <a:cubicBezTo>
                  <a:pt x="181724" y="121440"/>
                  <a:pt x="224295" y="124524"/>
                  <a:pt x="284206" y="111211"/>
                </a:cubicBezTo>
                <a:cubicBezTo>
                  <a:pt x="296921" y="108386"/>
                  <a:pt x="308365" y="100576"/>
                  <a:pt x="321276" y="98855"/>
                </a:cubicBezTo>
                <a:cubicBezTo>
                  <a:pt x="360875" y="93575"/>
                  <a:pt x="613918" y="76186"/>
                  <a:pt x="642552" y="74141"/>
                </a:cubicBezTo>
                <a:cubicBezTo>
                  <a:pt x="671384" y="70022"/>
                  <a:pt x="700794" y="68848"/>
                  <a:pt x="729049" y="61784"/>
                </a:cubicBezTo>
                <a:cubicBezTo>
                  <a:pt x="750568" y="56404"/>
                  <a:pt x="768179" y="0"/>
                  <a:pt x="778476" y="0"/>
                </a:cubicBezTo>
                <a:close/>
              </a:path>
            </a:pathLst>
          </a:custGeom>
          <a:solidFill>
            <a:schemeClr val="tx2">
              <a:lumMod val="25000"/>
              <a:lumOff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>
                <a:solidFill>
                  <a:sysClr val="windowText" lastClr="000000"/>
                </a:solidFill>
              </a:rPr>
              <a:t>6</a:t>
            </a:r>
          </a:p>
        </xdr:txBody>
      </xdr:sp>
      <xdr:sp macro="" textlink="">
        <xdr:nvSpPr>
          <xdr:cNvPr id="11" name="Freeform: Shape 10">
            <a:extLst>
              <a:ext uri="{FF2B5EF4-FFF2-40B4-BE49-F238E27FC236}">
                <a16:creationId xmlns:a16="http://schemas.microsoft.com/office/drawing/2014/main" id="{6F8CF6CF-5116-111B-5F90-09EF59FC0F9A}"/>
              </a:ext>
            </a:extLst>
          </xdr:cNvPr>
          <xdr:cNvSpPr/>
        </xdr:nvSpPr>
        <xdr:spPr>
          <a:xfrm>
            <a:off x="6025487" y="1071052"/>
            <a:ext cx="1337480" cy="669038"/>
          </a:xfrm>
          <a:custGeom>
            <a:avLst/>
            <a:gdLst>
              <a:gd name="connsiteX0" fmla="*/ 900752 w 1337480"/>
              <a:gd name="connsiteY0" fmla="*/ 75360 h 669038"/>
              <a:gd name="connsiteX1" fmla="*/ 934871 w 1337480"/>
              <a:gd name="connsiteY1" fmla="*/ 89008 h 669038"/>
              <a:gd name="connsiteX2" fmla="*/ 989462 w 1337480"/>
              <a:gd name="connsiteY2" fmla="*/ 116303 h 669038"/>
              <a:gd name="connsiteX3" fmla="*/ 1003110 w 1337480"/>
              <a:gd name="connsiteY3" fmla="*/ 136775 h 669038"/>
              <a:gd name="connsiteX4" fmla="*/ 1044053 w 1337480"/>
              <a:gd name="connsiteY4" fmla="*/ 170894 h 669038"/>
              <a:gd name="connsiteX5" fmla="*/ 1098644 w 1337480"/>
              <a:gd name="connsiteY5" fmla="*/ 239133 h 669038"/>
              <a:gd name="connsiteX6" fmla="*/ 1160059 w 1337480"/>
              <a:gd name="connsiteY6" fmla="*/ 307372 h 669038"/>
              <a:gd name="connsiteX7" fmla="*/ 1180531 w 1337480"/>
              <a:gd name="connsiteY7" fmla="*/ 321020 h 669038"/>
              <a:gd name="connsiteX8" fmla="*/ 1214650 w 1337480"/>
              <a:gd name="connsiteY8" fmla="*/ 327844 h 669038"/>
              <a:gd name="connsiteX9" fmla="*/ 1282889 w 1337480"/>
              <a:gd name="connsiteY9" fmla="*/ 409730 h 669038"/>
              <a:gd name="connsiteX10" fmla="*/ 1337480 w 1337480"/>
              <a:gd name="connsiteY10" fmla="*/ 477969 h 669038"/>
              <a:gd name="connsiteX11" fmla="*/ 1310185 w 1337480"/>
              <a:gd name="connsiteY11" fmla="*/ 518912 h 669038"/>
              <a:gd name="connsiteX12" fmla="*/ 1255594 w 1337480"/>
              <a:gd name="connsiteY12" fmla="*/ 580327 h 669038"/>
              <a:gd name="connsiteX13" fmla="*/ 1194179 w 1337480"/>
              <a:gd name="connsiteY13" fmla="*/ 600799 h 669038"/>
              <a:gd name="connsiteX14" fmla="*/ 1119116 w 1337480"/>
              <a:gd name="connsiteY14" fmla="*/ 621270 h 669038"/>
              <a:gd name="connsiteX15" fmla="*/ 962167 w 1337480"/>
              <a:gd name="connsiteY15" fmla="*/ 669038 h 669038"/>
              <a:gd name="connsiteX16" fmla="*/ 914400 w 1337480"/>
              <a:gd name="connsiteY16" fmla="*/ 662214 h 669038"/>
              <a:gd name="connsiteX17" fmla="*/ 873456 w 1337480"/>
              <a:gd name="connsiteY17" fmla="*/ 655390 h 669038"/>
              <a:gd name="connsiteX18" fmla="*/ 641444 w 1337480"/>
              <a:gd name="connsiteY18" fmla="*/ 628094 h 669038"/>
              <a:gd name="connsiteX19" fmla="*/ 593677 w 1337480"/>
              <a:gd name="connsiteY19" fmla="*/ 607623 h 669038"/>
              <a:gd name="connsiteX20" fmla="*/ 545910 w 1337480"/>
              <a:gd name="connsiteY20" fmla="*/ 553032 h 669038"/>
              <a:gd name="connsiteX21" fmla="*/ 518614 w 1337480"/>
              <a:gd name="connsiteY21" fmla="*/ 532560 h 669038"/>
              <a:gd name="connsiteX22" fmla="*/ 484495 w 1337480"/>
              <a:gd name="connsiteY22" fmla="*/ 491617 h 669038"/>
              <a:gd name="connsiteX23" fmla="*/ 272955 w 1337480"/>
              <a:gd name="connsiteY23" fmla="*/ 409730 h 669038"/>
              <a:gd name="connsiteX24" fmla="*/ 225188 w 1337480"/>
              <a:gd name="connsiteY24" fmla="*/ 389258 h 669038"/>
              <a:gd name="connsiteX25" fmla="*/ 136477 w 1337480"/>
              <a:gd name="connsiteY25" fmla="*/ 327844 h 669038"/>
              <a:gd name="connsiteX26" fmla="*/ 122829 w 1337480"/>
              <a:gd name="connsiteY26" fmla="*/ 307372 h 669038"/>
              <a:gd name="connsiteX27" fmla="*/ 61414 w 1337480"/>
              <a:gd name="connsiteY27" fmla="*/ 239133 h 669038"/>
              <a:gd name="connsiteX28" fmla="*/ 47767 w 1337480"/>
              <a:gd name="connsiteY28" fmla="*/ 211838 h 669038"/>
              <a:gd name="connsiteX29" fmla="*/ 34119 w 1337480"/>
              <a:gd name="connsiteY29" fmla="*/ 191366 h 669038"/>
              <a:gd name="connsiteX30" fmla="*/ 0 w 1337480"/>
              <a:gd name="connsiteY30" fmla="*/ 129951 h 669038"/>
              <a:gd name="connsiteX31" fmla="*/ 27295 w 1337480"/>
              <a:gd name="connsiteY31" fmla="*/ 7121 h 669038"/>
              <a:gd name="connsiteX32" fmla="*/ 54591 w 1337480"/>
              <a:gd name="connsiteY32" fmla="*/ 297 h 669038"/>
              <a:gd name="connsiteX33" fmla="*/ 232012 w 1337480"/>
              <a:gd name="connsiteY33" fmla="*/ 13945 h 669038"/>
              <a:gd name="connsiteX34" fmla="*/ 661916 w 1337480"/>
              <a:gd name="connsiteY34" fmla="*/ 20769 h 669038"/>
              <a:gd name="connsiteX35" fmla="*/ 743803 w 1337480"/>
              <a:gd name="connsiteY35" fmla="*/ 41241 h 669038"/>
              <a:gd name="connsiteX36" fmla="*/ 825689 w 1337480"/>
              <a:gd name="connsiteY36" fmla="*/ 68536 h 669038"/>
              <a:gd name="connsiteX37" fmla="*/ 900752 w 1337480"/>
              <a:gd name="connsiteY37" fmla="*/ 75360 h 66903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</a:cxnLst>
            <a:rect l="l" t="t" r="r" b="b"/>
            <a:pathLst>
              <a:path w="1337480" h="669038">
                <a:moveTo>
                  <a:pt x="900752" y="75360"/>
                </a:moveTo>
                <a:cubicBezTo>
                  <a:pt x="918949" y="78772"/>
                  <a:pt x="923749" y="83875"/>
                  <a:pt x="934871" y="89008"/>
                </a:cubicBezTo>
                <a:cubicBezTo>
                  <a:pt x="953343" y="97534"/>
                  <a:pt x="989462" y="116303"/>
                  <a:pt x="989462" y="116303"/>
                </a:cubicBezTo>
                <a:cubicBezTo>
                  <a:pt x="994011" y="123127"/>
                  <a:pt x="997311" y="130976"/>
                  <a:pt x="1003110" y="136775"/>
                </a:cubicBezTo>
                <a:cubicBezTo>
                  <a:pt x="1061536" y="195201"/>
                  <a:pt x="982572" y="98235"/>
                  <a:pt x="1044053" y="170894"/>
                </a:cubicBezTo>
                <a:cubicBezTo>
                  <a:pt x="1062869" y="193131"/>
                  <a:pt x="1079778" y="216938"/>
                  <a:pt x="1098644" y="239133"/>
                </a:cubicBezTo>
                <a:cubicBezTo>
                  <a:pt x="1118463" y="262450"/>
                  <a:pt x="1134597" y="290397"/>
                  <a:pt x="1160059" y="307372"/>
                </a:cubicBezTo>
                <a:cubicBezTo>
                  <a:pt x="1166883" y="311921"/>
                  <a:pt x="1172852" y="318140"/>
                  <a:pt x="1180531" y="321020"/>
                </a:cubicBezTo>
                <a:cubicBezTo>
                  <a:pt x="1191391" y="325092"/>
                  <a:pt x="1203277" y="325569"/>
                  <a:pt x="1214650" y="327844"/>
                </a:cubicBezTo>
                <a:cubicBezTo>
                  <a:pt x="1311906" y="425098"/>
                  <a:pt x="1206889" y="314730"/>
                  <a:pt x="1282889" y="409730"/>
                </a:cubicBezTo>
                <a:lnTo>
                  <a:pt x="1337480" y="477969"/>
                </a:lnTo>
                <a:cubicBezTo>
                  <a:pt x="1325872" y="512792"/>
                  <a:pt x="1338066" y="486384"/>
                  <a:pt x="1310185" y="518912"/>
                </a:cubicBezTo>
                <a:cubicBezTo>
                  <a:pt x="1284190" y="549240"/>
                  <a:pt x="1291919" y="552075"/>
                  <a:pt x="1255594" y="580327"/>
                </a:cubicBezTo>
                <a:cubicBezTo>
                  <a:pt x="1234087" y="597055"/>
                  <a:pt x="1219845" y="594383"/>
                  <a:pt x="1194179" y="600799"/>
                </a:cubicBezTo>
                <a:cubicBezTo>
                  <a:pt x="1169019" y="607089"/>
                  <a:pt x="1143997" y="613952"/>
                  <a:pt x="1119116" y="621270"/>
                </a:cubicBezTo>
                <a:cubicBezTo>
                  <a:pt x="1066652" y="636701"/>
                  <a:pt x="1014483" y="653115"/>
                  <a:pt x="962167" y="669038"/>
                </a:cubicBezTo>
                <a:lnTo>
                  <a:pt x="914400" y="662214"/>
                </a:lnTo>
                <a:cubicBezTo>
                  <a:pt x="900725" y="660110"/>
                  <a:pt x="887185" y="657106"/>
                  <a:pt x="873456" y="655390"/>
                </a:cubicBezTo>
                <a:lnTo>
                  <a:pt x="641444" y="628094"/>
                </a:lnTo>
                <a:cubicBezTo>
                  <a:pt x="625522" y="621270"/>
                  <a:pt x="608292" y="616923"/>
                  <a:pt x="593677" y="607623"/>
                </a:cubicBezTo>
                <a:cubicBezTo>
                  <a:pt x="564445" y="589021"/>
                  <a:pt x="568707" y="575828"/>
                  <a:pt x="545910" y="553032"/>
                </a:cubicBezTo>
                <a:cubicBezTo>
                  <a:pt x="537868" y="544990"/>
                  <a:pt x="527713" y="539384"/>
                  <a:pt x="518614" y="532560"/>
                </a:cubicBezTo>
                <a:cubicBezTo>
                  <a:pt x="507054" y="515219"/>
                  <a:pt x="502012" y="504755"/>
                  <a:pt x="484495" y="491617"/>
                </a:cubicBezTo>
                <a:cubicBezTo>
                  <a:pt x="427349" y="448758"/>
                  <a:pt x="318345" y="429183"/>
                  <a:pt x="272955" y="409730"/>
                </a:cubicBezTo>
                <a:lnTo>
                  <a:pt x="225188" y="389258"/>
                </a:lnTo>
                <a:cubicBezTo>
                  <a:pt x="169254" y="333326"/>
                  <a:pt x="258909" y="419668"/>
                  <a:pt x="136477" y="327844"/>
                </a:cubicBezTo>
                <a:cubicBezTo>
                  <a:pt x="129916" y="322923"/>
                  <a:pt x="128230" y="313544"/>
                  <a:pt x="122829" y="307372"/>
                </a:cubicBezTo>
                <a:cubicBezTo>
                  <a:pt x="89517" y="269300"/>
                  <a:pt x="88702" y="280064"/>
                  <a:pt x="61414" y="239133"/>
                </a:cubicBezTo>
                <a:cubicBezTo>
                  <a:pt x="55771" y="230669"/>
                  <a:pt x="52814" y="220670"/>
                  <a:pt x="47767" y="211838"/>
                </a:cubicBezTo>
                <a:cubicBezTo>
                  <a:pt x="43698" y="204717"/>
                  <a:pt x="38466" y="198321"/>
                  <a:pt x="34119" y="191366"/>
                </a:cubicBezTo>
                <a:cubicBezTo>
                  <a:pt x="12694" y="157087"/>
                  <a:pt x="16295" y="162543"/>
                  <a:pt x="0" y="129951"/>
                </a:cubicBezTo>
                <a:cubicBezTo>
                  <a:pt x="9098" y="89008"/>
                  <a:pt x="11019" y="45776"/>
                  <a:pt x="27295" y="7121"/>
                </a:cubicBezTo>
                <a:cubicBezTo>
                  <a:pt x="30934" y="-1523"/>
                  <a:pt x="45218" y="-15"/>
                  <a:pt x="54591" y="297"/>
                </a:cubicBezTo>
                <a:cubicBezTo>
                  <a:pt x="113873" y="2273"/>
                  <a:pt x="172731" y="11947"/>
                  <a:pt x="232012" y="13945"/>
                </a:cubicBezTo>
                <a:cubicBezTo>
                  <a:pt x="375250" y="18773"/>
                  <a:pt x="518615" y="18494"/>
                  <a:pt x="661916" y="20769"/>
                </a:cubicBezTo>
                <a:cubicBezTo>
                  <a:pt x="689212" y="27593"/>
                  <a:pt x="716948" y="32849"/>
                  <a:pt x="743803" y="41241"/>
                </a:cubicBezTo>
                <a:cubicBezTo>
                  <a:pt x="820495" y="65207"/>
                  <a:pt x="701080" y="48861"/>
                  <a:pt x="825689" y="68536"/>
                </a:cubicBezTo>
                <a:cubicBezTo>
                  <a:pt x="913640" y="82423"/>
                  <a:pt x="882555" y="71948"/>
                  <a:pt x="900752" y="75360"/>
                </a:cubicBezTo>
                <a:close/>
              </a:path>
            </a:pathLst>
          </a:custGeom>
          <a:solidFill>
            <a:schemeClr val="tx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4</a:t>
            </a:r>
          </a:p>
        </xdr:txBody>
      </xdr:sp>
      <xdr:sp macro="" textlink="">
        <xdr:nvSpPr>
          <xdr:cNvPr id="12" name="Freeform: Shape 11">
            <a:extLst>
              <a:ext uri="{FF2B5EF4-FFF2-40B4-BE49-F238E27FC236}">
                <a16:creationId xmlns:a16="http://schemas.microsoft.com/office/drawing/2014/main" id="{677482F3-F4F9-4966-2E13-8CBBE3710E7A}"/>
              </a:ext>
            </a:extLst>
          </xdr:cNvPr>
          <xdr:cNvSpPr/>
        </xdr:nvSpPr>
        <xdr:spPr>
          <a:xfrm>
            <a:off x="3725369" y="1176049"/>
            <a:ext cx="676671" cy="1395701"/>
          </a:xfrm>
          <a:custGeom>
            <a:avLst/>
            <a:gdLst>
              <a:gd name="connsiteX0" fmla="*/ 88886 w 676671"/>
              <a:gd name="connsiteY0" fmla="*/ 13352 h 1395701"/>
              <a:gd name="connsiteX1" fmla="*/ 116182 w 676671"/>
              <a:gd name="connsiteY1" fmla="*/ 238540 h 1395701"/>
              <a:gd name="connsiteX2" fmla="*/ 129830 w 676671"/>
              <a:gd name="connsiteY2" fmla="*/ 265836 h 1395701"/>
              <a:gd name="connsiteX3" fmla="*/ 116182 w 676671"/>
              <a:gd name="connsiteY3" fmla="*/ 477376 h 1395701"/>
              <a:gd name="connsiteX4" fmla="*/ 95710 w 676671"/>
              <a:gd name="connsiteY4" fmla="*/ 552439 h 1395701"/>
              <a:gd name="connsiteX5" fmla="*/ 82062 w 676671"/>
              <a:gd name="connsiteY5" fmla="*/ 668445 h 1395701"/>
              <a:gd name="connsiteX6" fmla="*/ 61591 w 676671"/>
              <a:gd name="connsiteY6" fmla="*/ 770803 h 1395701"/>
              <a:gd name="connsiteX7" fmla="*/ 47943 w 676671"/>
              <a:gd name="connsiteY7" fmla="*/ 804922 h 1395701"/>
              <a:gd name="connsiteX8" fmla="*/ 34295 w 676671"/>
              <a:gd name="connsiteY8" fmla="*/ 832218 h 1395701"/>
              <a:gd name="connsiteX9" fmla="*/ 13824 w 676671"/>
              <a:gd name="connsiteY9" fmla="*/ 879985 h 1395701"/>
              <a:gd name="connsiteX10" fmla="*/ 7000 w 676671"/>
              <a:gd name="connsiteY10" fmla="*/ 920928 h 1395701"/>
              <a:gd name="connsiteX11" fmla="*/ 176 w 676671"/>
              <a:gd name="connsiteY11" fmla="*/ 955048 h 1395701"/>
              <a:gd name="connsiteX12" fmla="*/ 20647 w 676671"/>
              <a:gd name="connsiteY12" fmla="*/ 1043758 h 1395701"/>
              <a:gd name="connsiteX13" fmla="*/ 54767 w 676671"/>
              <a:gd name="connsiteY13" fmla="*/ 1139293 h 1395701"/>
              <a:gd name="connsiteX14" fmla="*/ 61591 w 676671"/>
              <a:gd name="connsiteY14" fmla="*/ 1159764 h 1395701"/>
              <a:gd name="connsiteX15" fmla="*/ 75238 w 676671"/>
              <a:gd name="connsiteY15" fmla="*/ 1187060 h 1395701"/>
              <a:gd name="connsiteX16" fmla="*/ 82062 w 676671"/>
              <a:gd name="connsiteY16" fmla="*/ 1214355 h 1395701"/>
              <a:gd name="connsiteX17" fmla="*/ 95710 w 676671"/>
              <a:gd name="connsiteY17" fmla="*/ 1234827 h 1395701"/>
              <a:gd name="connsiteX18" fmla="*/ 109358 w 676671"/>
              <a:gd name="connsiteY18" fmla="*/ 1289418 h 1395701"/>
              <a:gd name="connsiteX19" fmla="*/ 116182 w 676671"/>
              <a:gd name="connsiteY19" fmla="*/ 1309890 h 1395701"/>
              <a:gd name="connsiteX20" fmla="*/ 123006 w 676671"/>
              <a:gd name="connsiteY20" fmla="*/ 1337185 h 1395701"/>
              <a:gd name="connsiteX21" fmla="*/ 129830 w 676671"/>
              <a:gd name="connsiteY21" fmla="*/ 1391776 h 1395701"/>
              <a:gd name="connsiteX22" fmla="*/ 211716 w 676671"/>
              <a:gd name="connsiteY22" fmla="*/ 1378128 h 1395701"/>
              <a:gd name="connsiteX23" fmla="*/ 239012 w 676671"/>
              <a:gd name="connsiteY23" fmla="*/ 1357657 h 1395701"/>
              <a:gd name="connsiteX24" fmla="*/ 279955 w 676671"/>
              <a:gd name="connsiteY24" fmla="*/ 1309890 h 1395701"/>
              <a:gd name="connsiteX25" fmla="*/ 286779 w 676671"/>
              <a:gd name="connsiteY25" fmla="*/ 1289418 h 1395701"/>
              <a:gd name="connsiteX26" fmla="*/ 355018 w 676671"/>
              <a:gd name="connsiteY26" fmla="*/ 1248475 h 1395701"/>
              <a:gd name="connsiteX27" fmla="*/ 423256 w 676671"/>
              <a:gd name="connsiteY27" fmla="*/ 1187060 h 1395701"/>
              <a:gd name="connsiteX28" fmla="*/ 443728 w 676671"/>
              <a:gd name="connsiteY28" fmla="*/ 1159764 h 1395701"/>
              <a:gd name="connsiteX29" fmla="*/ 498319 w 676671"/>
              <a:gd name="connsiteY29" fmla="*/ 1139293 h 1395701"/>
              <a:gd name="connsiteX30" fmla="*/ 525615 w 676671"/>
              <a:gd name="connsiteY30" fmla="*/ 1118821 h 1395701"/>
              <a:gd name="connsiteX31" fmla="*/ 573382 w 676671"/>
              <a:gd name="connsiteY31" fmla="*/ 1098349 h 1395701"/>
              <a:gd name="connsiteX32" fmla="*/ 593853 w 676671"/>
              <a:gd name="connsiteY32" fmla="*/ 1064230 h 1395701"/>
              <a:gd name="connsiteX33" fmla="*/ 668916 w 676671"/>
              <a:gd name="connsiteY33" fmla="*/ 1016463 h 1395701"/>
              <a:gd name="connsiteX34" fmla="*/ 655268 w 676671"/>
              <a:gd name="connsiteY34" fmla="*/ 934576 h 1395701"/>
              <a:gd name="connsiteX35" fmla="*/ 607501 w 676671"/>
              <a:gd name="connsiteY35" fmla="*/ 798099 h 1395701"/>
              <a:gd name="connsiteX36" fmla="*/ 546086 w 676671"/>
              <a:gd name="connsiteY36" fmla="*/ 600206 h 1395701"/>
              <a:gd name="connsiteX37" fmla="*/ 525615 w 676671"/>
              <a:gd name="connsiteY37" fmla="*/ 545615 h 1395701"/>
              <a:gd name="connsiteX38" fmla="*/ 477847 w 676671"/>
              <a:gd name="connsiteY38" fmla="*/ 409137 h 1395701"/>
              <a:gd name="connsiteX39" fmla="*/ 457376 w 676671"/>
              <a:gd name="connsiteY39" fmla="*/ 375018 h 1395701"/>
              <a:gd name="connsiteX40" fmla="*/ 436904 w 676671"/>
              <a:gd name="connsiteY40" fmla="*/ 361370 h 1395701"/>
              <a:gd name="connsiteX41" fmla="*/ 409609 w 676671"/>
              <a:gd name="connsiteY41" fmla="*/ 327251 h 1395701"/>
              <a:gd name="connsiteX42" fmla="*/ 368665 w 676671"/>
              <a:gd name="connsiteY42" fmla="*/ 286308 h 1395701"/>
              <a:gd name="connsiteX43" fmla="*/ 348194 w 676671"/>
              <a:gd name="connsiteY43" fmla="*/ 272660 h 1395701"/>
              <a:gd name="connsiteX44" fmla="*/ 327722 w 676671"/>
              <a:gd name="connsiteY44" fmla="*/ 245364 h 1395701"/>
              <a:gd name="connsiteX45" fmla="*/ 259483 w 676671"/>
              <a:gd name="connsiteY45" fmla="*/ 170302 h 1395701"/>
              <a:gd name="connsiteX46" fmla="*/ 232188 w 676671"/>
              <a:gd name="connsiteY46" fmla="*/ 115711 h 1395701"/>
              <a:gd name="connsiteX47" fmla="*/ 211716 w 676671"/>
              <a:gd name="connsiteY47" fmla="*/ 108887 h 1395701"/>
              <a:gd name="connsiteX48" fmla="*/ 163949 w 676671"/>
              <a:gd name="connsiteY48" fmla="*/ 67943 h 1395701"/>
              <a:gd name="connsiteX49" fmla="*/ 129830 w 676671"/>
              <a:gd name="connsiteY49" fmla="*/ 27000 h 1395701"/>
              <a:gd name="connsiteX50" fmla="*/ 88886 w 676671"/>
              <a:gd name="connsiteY50" fmla="*/ 13352 h 139570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</a:cxnLst>
            <a:rect l="l" t="t" r="r" b="b"/>
            <a:pathLst>
              <a:path w="676671" h="1395701">
                <a:moveTo>
                  <a:pt x="88886" y="13352"/>
                </a:moveTo>
                <a:cubicBezTo>
                  <a:pt x="86611" y="48609"/>
                  <a:pt x="91591" y="164767"/>
                  <a:pt x="116182" y="238540"/>
                </a:cubicBezTo>
                <a:cubicBezTo>
                  <a:pt x="119399" y="248191"/>
                  <a:pt x="125281" y="256737"/>
                  <a:pt x="129830" y="265836"/>
                </a:cubicBezTo>
                <a:cubicBezTo>
                  <a:pt x="125281" y="336349"/>
                  <a:pt x="123391" y="407085"/>
                  <a:pt x="116182" y="477376"/>
                </a:cubicBezTo>
                <a:cubicBezTo>
                  <a:pt x="113902" y="499608"/>
                  <a:pt x="103437" y="529258"/>
                  <a:pt x="95710" y="552439"/>
                </a:cubicBezTo>
                <a:cubicBezTo>
                  <a:pt x="85423" y="665593"/>
                  <a:pt x="94234" y="589331"/>
                  <a:pt x="82062" y="668445"/>
                </a:cubicBezTo>
                <a:cubicBezTo>
                  <a:pt x="77045" y="701058"/>
                  <a:pt x="73938" y="739935"/>
                  <a:pt x="61591" y="770803"/>
                </a:cubicBezTo>
                <a:cubicBezTo>
                  <a:pt x="57042" y="782176"/>
                  <a:pt x="52918" y="793729"/>
                  <a:pt x="47943" y="804922"/>
                </a:cubicBezTo>
                <a:cubicBezTo>
                  <a:pt x="43811" y="814218"/>
                  <a:pt x="37867" y="822693"/>
                  <a:pt x="34295" y="832218"/>
                </a:cubicBezTo>
                <a:cubicBezTo>
                  <a:pt x="15409" y="882580"/>
                  <a:pt x="41481" y="838496"/>
                  <a:pt x="13824" y="879985"/>
                </a:cubicBezTo>
                <a:cubicBezTo>
                  <a:pt x="11549" y="893633"/>
                  <a:pt x="9475" y="907315"/>
                  <a:pt x="7000" y="920928"/>
                </a:cubicBezTo>
                <a:cubicBezTo>
                  <a:pt x="4925" y="932339"/>
                  <a:pt x="-1105" y="943520"/>
                  <a:pt x="176" y="955048"/>
                </a:cubicBezTo>
                <a:cubicBezTo>
                  <a:pt x="3527" y="985210"/>
                  <a:pt x="12662" y="1014480"/>
                  <a:pt x="20647" y="1043758"/>
                </a:cubicBezTo>
                <a:cubicBezTo>
                  <a:pt x="35120" y="1096824"/>
                  <a:pt x="38709" y="1096473"/>
                  <a:pt x="54767" y="1139293"/>
                </a:cubicBezTo>
                <a:cubicBezTo>
                  <a:pt x="57293" y="1146028"/>
                  <a:pt x="58758" y="1153153"/>
                  <a:pt x="61591" y="1159764"/>
                </a:cubicBezTo>
                <a:cubicBezTo>
                  <a:pt x="65598" y="1169114"/>
                  <a:pt x="71666" y="1177535"/>
                  <a:pt x="75238" y="1187060"/>
                </a:cubicBezTo>
                <a:cubicBezTo>
                  <a:pt x="78531" y="1195841"/>
                  <a:pt x="78368" y="1205735"/>
                  <a:pt x="82062" y="1214355"/>
                </a:cubicBezTo>
                <a:cubicBezTo>
                  <a:pt x="85293" y="1221893"/>
                  <a:pt x="92042" y="1227491"/>
                  <a:pt x="95710" y="1234827"/>
                </a:cubicBezTo>
                <a:cubicBezTo>
                  <a:pt x="103509" y="1250425"/>
                  <a:pt x="105465" y="1273845"/>
                  <a:pt x="109358" y="1289418"/>
                </a:cubicBezTo>
                <a:cubicBezTo>
                  <a:pt x="111103" y="1296396"/>
                  <a:pt x="114206" y="1302974"/>
                  <a:pt x="116182" y="1309890"/>
                </a:cubicBezTo>
                <a:cubicBezTo>
                  <a:pt x="118758" y="1318908"/>
                  <a:pt x="120731" y="1328087"/>
                  <a:pt x="123006" y="1337185"/>
                </a:cubicBezTo>
                <a:cubicBezTo>
                  <a:pt x="125281" y="1355382"/>
                  <a:pt x="113179" y="1384091"/>
                  <a:pt x="129830" y="1391776"/>
                </a:cubicBezTo>
                <a:cubicBezTo>
                  <a:pt x="154955" y="1403372"/>
                  <a:pt x="185304" y="1386382"/>
                  <a:pt x="211716" y="1378128"/>
                </a:cubicBezTo>
                <a:cubicBezTo>
                  <a:pt x="222571" y="1374736"/>
                  <a:pt x="230377" y="1365059"/>
                  <a:pt x="239012" y="1357657"/>
                </a:cubicBezTo>
                <a:cubicBezTo>
                  <a:pt x="258967" y="1340553"/>
                  <a:pt x="263778" y="1331458"/>
                  <a:pt x="279955" y="1309890"/>
                </a:cubicBezTo>
                <a:cubicBezTo>
                  <a:pt x="282230" y="1303066"/>
                  <a:pt x="282789" y="1295403"/>
                  <a:pt x="286779" y="1289418"/>
                </a:cubicBezTo>
                <a:cubicBezTo>
                  <a:pt x="306225" y="1260249"/>
                  <a:pt x="322209" y="1266371"/>
                  <a:pt x="355018" y="1248475"/>
                </a:cubicBezTo>
                <a:cubicBezTo>
                  <a:pt x="376628" y="1236688"/>
                  <a:pt x="410122" y="1201653"/>
                  <a:pt x="423256" y="1187060"/>
                </a:cubicBezTo>
                <a:cubicBezTo>
                  <a:pt x="430864" y="1178606"/>
                  <a:pt x="434133" y="1165870"/>
                  <a:pt x="443728" y="1159764"/>
                </a:cubicBezTo>
                <a:cubicBezTo>
                  <a:pt x="460124" y="1149330"/>
                  <a:pt x="480122" y="1146117"/>
                  <a:pt x="498319" y="1139293"/>
                </a:cubicBezTo>
                <a:cubicBezTo>
                  <a:pt x="507418" y="1132469"/>
                  <a:pt x="515630" y="1124267"/>
                  <a:pt x="525615" y="1118821"/>
                </a:cubicBezTo>
                <a:cubicBezTo>
                  <a:pt x="540823" y="1110526"/>
                  <a:pt x="559855" y="1109171"/>
                  <a:pt x="573382" y="1098349"/>
                </a:cubicBezTo>
                <a:cubicBezTo>
                  <a:pt x="583739" y="1090064"/>
                  <a:pt x="583783" y="1072861"/>
                  <a:pt x="593853" y="1064230"/>
                </a:cubicBezTo>
                <a:cubicBezTo>
                  <a:pt x="616371" y="1044929"/>
                  <a:pt x="668916" y="1016463"/>
                  <a:pt x="668916" y="1016463"/>
                </a:cubicBezTo>
                <a:cubicBezTo>
                  <a:pt x="682347" y="976169"/>
                  <a:pt x="678664" y="1000866"/>
                  <a:pt x="655268" y="934576"/>
                </a:cubicBezTo>
                <a:cubicBezTo>
                  <a:pt x="627706" y="856482"/>
                  <a:pt x="636485" y="893333"/>
                  <a:pt x="607501" y="798099"/>
                </a:cubicBezTo>
                <a:cubicBezTo>
                  <a:pt x="555137" y="626045"/>
                  <a:pt x="629409" y="839754"/>
                  <a:pt x="546086" y="600206"/>
                </a:cubicBezTo>
                <a:cubicBezTo>
                  <a:pt x="540510" y="584176"/>
                  <a:pt x="530002" y="563163"/>
                  <a:pt x="525615" y="545615"/>
                </a:cubicBezTo>
                <a:cubicBezTo>
                  <a:pt x="504369" y="460630"/>
                  <a:pt x="522788" y="499019"/>
                  <a:pt x="477847" y="409137"/>
                </a:cubicBezTo>
                <a:cubicBezTo>
                  <a:pt x="471916" y="397274"/>
                  <a:pt x="466007" y="385088"/>
                  <a:pt x="457376" y="375018"/>
                </a:cubicBezTo>
                <a:cubicBezTo>
                  <a:pt x="452039" y="368791"/>
                  <a:pt x="442703" y="367169"/>
                  <a:pt x="436904" y="361370"/>
                </a:cubicBezTo>
                <a:cubicBezTo>
                  <a:pt x="426605" y="351071"/>
                  <a:pt x="419406" y="338028"/>
                  <a:pt x="409609" y="327251"/>
                </a:cubicBezTo>
                <a:cubicBezTo>
                  <a:pt x="396626" y="312970"/>
                  <a:pt x="383091" y="299131"/>
                  <a:pt x="368665" y="286308"/>
                </a:cubicBezTo>
                <a:cubicBezTo>
                  <a:pt x="362535" y="280859"/>
                  <a:pt x="353993" y="278459"/>
                  <a:pt x="348194" y="272660"/>
                </a:cubicBezTo>
                <a:cubicBezTo>
                  <a:pt x="340152" y="264618"/>
                  <a:pt x="335407" y="253748"/>
                  <a:pt x="327722" y="245364"/>
                </a:cubicBezTo>
                <a:cubicBezTo>
                  <a:pt x="309493" y="225478"/>
                  <a:pt x="273970" y="199277"/>
                  <a:pt x="259483" y="170302"/>
                </a:cubicBezTo>
                <a:cubicBezTo>
                  <a:pt x="253643" y="158621"/>
                  <a:pt x="245365" y="126252"/>
                  <a:pt x="232188" y="115711"/>
                </a:cubicBezTo>
                <a:cubicBezTo>
                  <a:pt x="226571" y="111218"/>
                  <a:pt x="218540" y="111162"/>
                  <a:pt x="211716" y="108887"/>
                </a:cubicBezTo>
                <a:cubicBezTo>
                  <a:pt x="129731" y="26899"/>
                  <a:pt x="226289" y="119892"/>
                  <a:pt x="163949" y="67943"/>
                </a:cubicBezTo>
                <a:cubicBezTo>
                  <a:pt x="96879" y="12053"/>
                  <a:pt x="183502" y="80674"/>
                  <a:pt x="129830" y="27000"/>
                </a:cubicBezTo>
                <a:cubicBezTo>
                  <a:pt x="126234" y="23403"/>
                  <a:pt x="91161" y="-21905"/>
                  <a:pt x="88886" y="13352"/>
                </a:cubicBezTo>
                <a:close/>
              </a:path>
            </a:pathLst>
          </a:custGeom>
          <a:solidFill>
            <a:schemeClr val="tx2">
              <a:lumMod val="90000"/>
              <a:lumOff val="1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/>
              <a:t>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EB3A-0183-414D-8B8C-3586316342FF}">
  <dimension ref="A1:O58"/>
  <sheetViews>
    <sheetView workbookViewId="0">
      <selection activeCell="L26" sqref="L26"/>
    </sheetView>
  </sheetViews>
  <sheetFormatPr baseColWidth="10" defaultColWidth="8.83203125" defaultRowHeight="15" x14ac:dyDescent="0.2"/>
  <cols>
    <col min="1" max="1" width="19.5" customWidth="1"/>
    <col min="4" max="4" width="10.5" customWidth="1"/>
    <col min="9" max="9" width="13.5" bestFit="1" customWidth="1"/>
    <col min="11" max="11" width="10.1640625" customWidth="1"/>
  </cols>
  <sheetData>
    <row r="1" spans="1:15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0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/>
    </row>
    <row r="2" spans="1:15" x14ac:dyDescent="0.2">
      <c r="A2" s="4" t="s">
        <v>10</v>
      </c>
      <c r="B2" s="4">
        <v>4994</v>
      </c>
      <c r="C2" s="2">
        <v>2542</v>
      </c>
      <c r="D2" s="4">
        <v>2262</v>
      </c>
      <c r="E2" s="4">
        <v>177</v>
      </c>
      <c r="F2" s="4">
        <v>2</v>
      </c>
      <c r="G2" s="4">
        <v>11</v>
      </c>
      <c r="H2" s="4"/>
      <c r="I2" s="4" t="s">
        <v>10</v>
      </c>
      <c r="J2" s="3">
        <f t="shared" ref="J2:J9" si="0">C2/B2</f>
        <v>0.50901081297557071</v>
      </c>
      <c r="K2" s="3">
        <f t="shared" ref="K2:K9" si="1">D2/B2</f>
        <v>0.45294353223868644</v>
      </c>
      <c r="L2" s="3">
        <f t="shared" ref="L2:L9" si="2">E2/B2</f>
        <v>3.5442531037244693E-2</v>
      </c>
      <c r="M2" s="3">
        <f t="shared" ref="M2:M9" si="3">F2/B2</f>
        <v>4.0048057669203043E-4</v>
      </c>
      <c r="N2" s="3">
        <f t="shared" ref="N2:N9" si="4">G2/B2</f>
        <v>2.2026431718061676E-3</v>
      </c>
      <c r="O2" s="1"/>
    </row>
    <row r="3" spans="1:15" ht="16" x14ac:dyDescent="0.2">
      <c r="A3" s="1" t="s">
        <v>7</v>
      </c>
      <c r="B3" s="1">
        <v>6094</v>
      </c>
      <c r="C3" s="2">
        <v>3010</v>
      </c>
      <c r="D3" s="1">
        <v>2773</v>
      </c>
      <c r="E3" s="1">
        <v>266</v>
      </c>
      <c r="F3" s="1">
        <v>9</v>
      </c>
      <c r="G3" s="1">
        <v>36</v>
      </c>
      <c r="H3" s="1"/>
      <c r="I3" s="1" t="s">
        <v>7</v>
      </c>
      <c r="J3" s="3">
        <f t="shared" si="0"/>
        <v>0.49392845421726289</v>
      </c>
      <c r="K3" s="3">
        <f t="shared" si="1"/>
        <v>0.45503774204135217</v>
      </c>
      <c r="L3" s="3">
        <f t="shared" si="2"/>
        <v>4.3649491302920909E-2</v>
      </c>
      <c r="M3" s="3">
        <f t="shared" si="3"/>
        <v>1.4768624876928126E-3</v>
      </c>
      <c r="N3" s="3">
        <f t="shared" si="4"/>
        <v>5.9074499507712503E-3</v>
      </c>
      <c r="O3" s="4"/>
    </row>
    <row r="4" spans="1:15" x14ac:dyDescent="0.2">
      <c r="A4" s="4" t="s">
        <v>9</v>
      </c>
      <c r="B4" s="4">
        <v>308</v>
      </c>
      <c r="C4" s="2">
        <v>0</v>
      </c>
      <c r="D4" s="4">
        <v>285</v>
      </c>
      <c r="E4" s="4">
        <v>0</v>
      </c>
      <c r="F4" s="4">
        <v>9</v>
      </c>
      <c r="G4" s="4">
        <v>14</v>
      </c>
      <c r="H4" s="4"/>
      <c r="I4" s="4" t="s">
        <v>9</v>
      </c>
      <c r="J4" s="3">
        <f t="shared" si="0"/>
        <v>0</v>
      </c>
      <c r="K4" s="3">
        <f t="shared" si="1"/>
        <v>0.92532467532467533</v>
      </c>
      <c r="L4" s="3">
        <f t="shared" si="2"/>
        <v>0</v>
      </c>
      <c r="M4" s="3">
        <f t="shared" si="3"/>
        <v>2.922077922077922E-2</v>
      </c>
      <c r="N4" s="3">
        <f t="shared" si="4"/>
        <v>4.5454545454545456E-2</v>
      </c>
      <c r="O4" s="4"/>
    </row>
    <row r="5" spans="1:15" x14ac:dyDescent="0.2">
      <c r="A5" s="4" t="s">
        <v>8</v>
      </c>
      <c r="B5" s="4">
        <v>940</v>
      </c>
      <c r="C5" s="2">
        <v>15</v>
      </c>
      <c r="D5" s="4">
        <v>715</v>
      </c>
      <c r="E5" s="4">
        <v>7</v>
      </c>
      <c r="F5" s="4">
        <v>85</v>
      </c>
      <c r="G5" s="4">
        <v>118</v>
      </c>
      <c r="H5" s="4"/>
      <c r="I5" s="4" t="s">
        <v>8</v>
      </c>
      <c r="J5" s="3">
        <f t="shared" si="0"/>
        <v>1.5957446808510637E-2</v>
      </c>
      <c r="K5" s="3">
        <f t="shared" si="1"/>
        <v>0.76063829787234039</v>
      </c>
      <c r="L5" s="3">
        <f t="shared" si="2"/>
        <v>7.4468085106382982E-3</v>
      </c>
      <c r="M5" s="3">
        <f t="shared" si="3"/>
        <v>9.0425531914893623E-2</v>
      </c>
      <c r="N5" s="3">
        <f t="shared" si="4"/>
        <v>0.12553191489361701</v>
      </c>
      <c r="O5" s="4"/>
    </row>
    <row r="6" spans="1:15" x14ac:dyDescent="0.2">
      <c r="A6" s="4" t="s">
        <v>67</v>
      </c>
      <c r="B6" s="4">
        <v>423</v>
      </c>
      <c r="C6" s="2">
        <v>12</v>
      </c>
      <c r="D6" s="4">
        <v>237</v>
      </c>
      <c r="E6" s="4">
        <v>0</v>
      </c>
      <c r="F6" s="4">
        <v>61</v>
      </c>
      <c r="G6" s="4">
        <v>113</v>
      </c>
      <c r="H6" s="4"/>
      <c r="I6" s="4" t="s">
        <v>67</v>
      </c>
      <c r="J6" s="3">
        <f t="shared" si="0"/>
        <v>2.8368794326241134E-2</v>
      </c>
      <c r="K6" s="3">
        <f t="shared" si="1"/>
        <v>0.56028368794326244</v>
      </c>
      <c r="L6" s="3">
        <f t="shared" si="2"/>
        <v>0</v>
      </c>
      <c r="M6" s="3">
        <f t="shared" si="3"/>
        <v>0.14420803782505912</v>
      </c>
      <c r="N6" s="3">
        <f t="shared" si="4"/>
        <v>0.26713947990543735</v>
      </c>
      <c r="O6" s="4"/>
    </row>
    <row r="7" spans="1:15" x14ac:dyDescent="0.2">
      <c r="A7" s="4" t="s">
        <v>68</v>
      </c>
      <c r="B7" s="4">
        <v>4119</v>
      </c>
      <c r="C7" s="2">
        <v>2</v>
      </c>
      <c r="D7" s="4">
        <v>239</v>
      </c>
      <c r="E7" s="4">
        <v>11</v>
      </c>
      <c r="F7" s="4">
        <v>412</v>
      </c>
      <c r="G7" s="4">
        <v>3455</v>
      </c>
      <c r="H7" s="4"/>
      <c r="I7" s="4" t="s">
        <v>68</v>
      </c>
      <c r="J7" s="3">
        <f t="shared" si="0"/>
        <v>4.8555474629764507E-4</v>
      </c>
      <c r="K7" s="3">
        <f t="shared" si="1"/>
        <v>5.8023792182568583E-2</v>
      </c>
      <c r="L7" s="3">
        <f t="shared" si="2"/>
        <v>2.6705511046370479E-3</v>
      </c>
      <c r="M7" s="3">
        <f t="shared" si="3"/>
        <v>0.10002427773731488</v>
      </c>
      <c r="N7" s="3">
        <f t="shared" si="4"/>
        <v>0.83879582422918186</v>
      </c>
      <c r="O7" s="4"/>
    </row>
    <row r="8" spans="1:15" x14ac:dyDescent="0.2">
      <c r="A8" s="4" t="s">
        <v>69</v>
      </c>
      <c r="B8" s="4">
        <v>144</v>
      </c>
      <c r="C8" s="2">
        <v>25</v>
      </c>
      <c r="D8" s="4">
        <v>69</v>
      </c>
      <c r="E8" s="4">
        <v>5</v>
      </c>
      <c r="F8" s="4">
        <v>8</v>
      </c>
      <c r="G8" s="4">
        <v>37</v>
      </c>
      <c r="H8" s="4"/>
      <c r="I8" s="4" t="s">
        <v>69</v>
      </c>
      <c r="J8" s="3">
        <f t="shared" si="0"/>
        <v>0.1736111111111111</v>
      </c>
      <c r="K8" s="3">
        <f t="shared" si="1"/>
        <v>0.47916666666666669</v>
      </c>
      <c r="L8" s="3">
        <f t="shared" si="2"/>
        <v>3.4722222222222224E-2</v>
      </c>
      <c r="M8" s="3">
        <f t="shared" si="3"/>
        <v>5.5555555555555552E-2</v>
      </c>
      <c r="N8" s="3">
        <f t="shared" si="4"/>
        <v>0.25694444444444442</v>
      </c>
      <c r="O8" s="4"/>
    </row>
    <row r="9" spans="1:15" x14ac:dyDescent="0.2">
      <c r="A9" s="4" t="s">
        <v>70</v>
      </c>
      <c r="B9" s="4">
        <v>1727</v>
      </c>
      <c r="C9" s="2">
        <v>0</v>
      </c>
      <c r="D9" s="4">
        <v>714</v>
      </c>
      <c r="E9" s="4">
        <v>0</v>
      </c>
      <c r="F9" s="4">
        <v>120</v>
      </c>
      <c r="G9" s="4">
        <v>893</v>
      </c>
      <c r="H9" s="4"/>
      <c r="I9" s="4" t="s">
        <v>70</v>
      </c>
      <c r="J9" s="3">
        <f t="shared" si="0"/>
        <v>0</v>
      </c>
      <c r="K9" s="3">
        <f t="shared" si="1"/>
        <v>0.41343370005790386</v>
      </c>
      <c r="L9" s="3">
        <f t="shared" si="2"/>
        <v>0</v>
      </c>
      <c r="M9" s="3">
        <f t="shared" si="3"/>
        <v>6.9484655471916623E-2</v>
      </c>
      <c r="N9" s="3">
        <f t="shared" si="4"/>
        <v>0.51708164447017946</v>
      </c>
      <c r="O9" s="4"/>
    </row>
    <row r="10" spans="1:1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</sheetData>
  <autoFilter ref="A1:N9" xr:uid="{B943EB3A-0183-414D-8B8C-3586316342FF}">
    <sortState xmlns:xlrd2="http://schemas.microsoft.com/office/spreadsheetml/2017/richdata2" ref="A2:N9">
      <sortCondition ref="I1:I9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8B39-A01F-4A80-9AC1-9FD99BBCA018}">
  <dimension ref="A1:O9"/>
  <sheetViews>
    <sheetView workbookViewId="0">
      <selection activeCell="L28" sqref="L28"/>
    </sheetView>
  </sheetViews>
  <sheetFormatPr baseColWidth="10" defaultColWidth="8.83203125" defaultRowHeight="15" x14ac:dyDescent="0.2"/>
  <cols>
    <col min="1" max="1" width="18.1640625" bestFit="1" customWidth="1"/>
    <col min="2" max="2" width="13.6640625" customWidth="1"/>
    <col min="3" max="3" width="14.1640625" customWidth="1"/>
    <col min="6" max="6" width="14.5" customWidth="1"/>
  </cols>
  <sheetData>
    <row r="1" spans="1:15" ht="34" x14ac:dyDescent="0.2">
      <c r="A1" s="5" t="s">
        <v>0</v>
      </c>
      <c r="B1" s="5" t="s">
        <v>11</v>
      </c>
      <c r="C1" s="5" t="s">
        <v>1</v>
      </c>
      <c r="D1" s="5" t="s">
        <v>12</v>
      </c>
      <c r="E1" s="5" t="s">
        <v>13</v>
      </c>
      <c r="F1" s="5" t="s">
        <v>14</v>
      </c>
      <c r="G1" s="5"/>
      <c r="H1" s="5"/>
      <c r="I1" s="5"/>
      <c r="J1" s="5"/>
      <c r="K1" s="5"/>
      <c r="L1" s="5"/>
      <c r="M1" s="5"/>
      <c r="N1" s="5"/>
      <c r="O1" s="5"/>
    </row>
    <row r="2" spans="1:15" x14ac:dyDescent="0.2">
      <c r="A2" s="4" t="s">
        <v>10</v>
      </c>
      <c r="B2" s="4">
        <v>4994</v>
      </c>
      <c r="C2" s="4">
        <v>4994</v>
      </c>
      <c r="D2" s="4">
        <v>11</v>
      </c>
      <c r="E2" s="6">
        <v>0</v>
      </c>
      <c r="F2" s="8">
        <v>1</v>
      </c>
      <c r="G2" s="1"/>
      <c r="H2" s="1"/>
      <c r="I2" s="1"/>
      <c r="J2" s="1"/>
      <c r="K2" s="1"/>
      <c r="L2" s="1"/>
      <c r="M2" s="1"/>
      <c r="N2" s="1"/>
      <c r="O2" s="1"/>
    </row>
    <row r="3" spans="1:15" ht="16" x14ac:dyDescent="0.2">
      <c r="A3" s="1" t="s">
        <v>7</v>
      </c>
      <c r="B3" s="4">
        <v>38</v>
      </c>
      <c r="C3" s="7">
        <v>6094</v>
      </c>
      <c r="D3" s="4">
        <v>36</v>
      </c>
      <c r="E3" s="8">
        <v>5.9074499507712503E-3</v>
      </c>
      <c r="F3" s="8">
        <v>1</v>
      </c>
      <c r="G3" s="4"/>
      <c r="H3" s="4"/>
      <c r="I3" s="4"/>
      <c r="J3" s="4"/>
      <c r="K3" s="4"/>
      <c r="L3" s="4"/>
      <c r="M3" s="4"/>
      <c r="N3" s="4"/>
      <c r="O3" s="4"/>
    </row>
    <row r="4" spans="1:15" x14ac:dyDescent="0.2">
      <c r="A4" s="4" t="s">
        <v>9</v>
      </c>
      <c r="B4" s="4">
        <v>30</v>
      </c>
      <c r="C4" s="4">
        <v>308</v>
      </c>
      <c r="D4" s="4">
        <v>14</v>
      </c>
      <c r="E4" s="6">
        <v>4.5454545454545456E-2</v>
      </c>
      <c r="F4" s="6">
        <v>0.77777777777777779</v>
      </c>
      <c r="G4" s="4"/>
      <c r="H4" s="4"/>
      <c r="I4" s="4"/>
      <c r="J4" s="4"/>
      <c r="K4" s="4"/>
      <c r="L4" s="4"/>
      <c r="M4" s="4"/>
      <c r="N4" s="4"/>
      <c r="O4" s="4"/>
    </row>
    <row r="5" spans="1:15" x14ac:dyDescent="0.2">
      <c r="A5" s="4" t="s">
        <v>8</v>
      </c>
      <c r="B5" s="4">
        <v>510</v>
      </c>
      <c r="C5" s="4">
        <v>940</v>
      </c>
      <c r="D5" s="4">
        <v>118</v>
      </c>
      <c r="E5" s="6">
        <v>0.12553191489361701</v>
      </c>
      <c r="F5" s="6">
        <v>1.7611940298507462</v>
      </c>
      <c r="G5" s="4"/>
      <c r="H5" s="4"/>
      <c r="I5" s="4"/>
      <c r="J5" s="4"/>
      <c r="K5" s="4"/>
      <c r="L5" s="4"/>
      <c r="M5" s="4"/>
      <c r="N5" s="4"/>
      <c r="O5" s="4"/>
    </row>
    <row r="6" spans="1:15" x14ac:dyDescent="0.2">
      <c r="A6" s="4" t="s">
        <v>67</v>
      </c>
      <c r="B6" s="4">
        <v>577</v>
      </c>
      <c r="C6" s="4">
        <v>423</v>
      </c>
      <c r="D6" s="4">
        <v>113</v>
      </c>
      <c r="E6" s="6">
        <v>0.26713947990543735</v>
      </c>
      <c r="F6" s="6">
        <v>0.7533333333333333</v>
      </c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4" t="s">
        <v>68</v>
      </c>
      <c r="B7" s="4">
        <v>3760</v>
      </c>
      <c r="C7" s="4">
        <v>4119</v>
      </c>
      <c r="D7" s="4">
        <v>3455</v>
      </c>
      <c r="E7" s="6">
        <v>0.83879582422918186</v>
      </c>
      <c r="F7" s="6">
        <v>0.92826437399247719</v>
      </c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4" t="s">
        <v>69</v>
      </c>
      <c r="B8" s="4">
        <v>20</v>
      </c>
      <c r="C8" s="4">
        <v>144</v>
      </c>
      <c r="D8" s="4">
        <v>37</v>
      </c>
      <c r="E8" s="6">
        <v>0.25694444444444442</v>
      </c>
      <c r="F8" s="6">
        <v>12.333333333333334</v>
      </c>
      <c r="G8" s="4"/>
      <c r="H8" s="4"/>
      <c r="I8" s="4"/>
      <c r="J8" s="4"/>
      <c r="K8" s="4"/>
      <c r="L8" s="4"/>
      <c r="M8" s="4"/>
      <c r="N8" s="4"/>
      <c r="O8" s="4"/>
    </row>
    <row r="9" spans="1:15" x14ac:dyDescent="0.2">
      <c r="A9" s="4" t="s">
        <v>70</v>
      </c>
      <c r="B9" s="4">
        <v>4992</v>
      </c>
      <c r="C9" s="4">
        <v>1727</v>
      </c>
      <c r="D9" s="4">
        <v>893</v>
      </c>
      <c r="E9" s="6">
        <v>0.51708164447017946</v>
      </c>
      <c r="F9" s="6">
        <v>0.92924037460978148</v>
      </c>
    </row>
  </sheetData>
  <autoFilter ref="A1:F1" xr:uid="{B2CC8B39-A01F-4A80-9AC1-9FD99BBCA018}">
    <sortState xmlns:xlrd2="http://schemas.microsoft.com/office/spreadsheetml/2017/richdata2" ref="A2:F9">
      <sortCondition ref="A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C96D-EE88-4800-A113-ACA7AB1BA145}">
  <dimension ref="A1:M10"/>
  <sheetViews>
    <sheetView tabSelected="1" workbookViewId="0">
      <selection activeCell="K26" sqref="K26"/>
    </sheetView>
  </sheetViews>
  <sheetFormatPr baseColWidth="10" defaultColWidth="8.83203125" defaultRowHeight="15" x14ac:dyDescent="0.2"/>
  <cols>
    <col min="1" max="1" width="15.33203125" customWidth="1"/>
    <col min="2" max="2" width="10.1640625" customWidth="1"/>
    <col min="3" max="3" width="10.6640625" customWidth="1"/>
    <col min="4" max="4" width="16.5" customWidth="1"/>
    <col min="5" max="5" width="14.6640625" customWidth="1"/>
    <col min="7" max="7" width="9.6640625" customWidth="1"/>
    <col min="8" max="8" width="11.1640625" customWidth="1"/>
    <col min="9" max="9" width="15.5" customWidth="1"/>
    <col min="10" max="10" width="11.6640625" customWidth="1"/>
    <col min="11" max="11" width="13.83203125" customWidth="1"/>
  </cols>
  <sheetData>
    <row r="1" spans="1:13" ht="22.5" customHeight="1" x14ac:dyDescent="0.2">
      <c r="A1" s="48" t="s">
        <v>0</v>
      </c>
      <c r="B1" s="48" t="s">
        <v>15</v>
      </c>
      <c r="C1" s="48" t="s">
        <v>16</v>
      </c>
      <c r="D1" s="48" t="s">
        <v>17</v>
      </c>
      <c r="E1" s="48" t="s">
        <v>18</v>
      </c>
      <c r="F1" s="50" t="s">
        <v>19</v>
      </c>
      <c r="G1" s="50"/>
      <c r="H1" s="50"/>
      <c r="I1" s="48" t="s">
        <v>20</v>
      </c>
      <c r="J1" s="48" t="s">
        <v>21</v>
      </c>
      <c r="K1" s="48" t="s">
        <v>22</v>
      </c>
      <c r="L1" s="48" t="s">
        <v>13</v>
      </c>
      <c r="M1" s="48" t="s">
        <v>65</v>
      </c>
    </row>
    <row r="2" spans="1:13" ht="29.5" customHeight="1" thickBot="1" x14ac:dyDescent="0.25">
      <c r="A2" s="49"/>
      <c r="B2" s="49"/>
      <c r="C2" s="49"/>
      <c r="D2" s="49"/>
      <c r="E2" s="49"/>
      <c r="F2" s="22" t="s">
        <v>23</v>
      </c>
      <c r="G2" s="22" t="s">
        <v>24</v>
      </c>
      <c r="H2" s="22" t="s">
        <v>25</v>
      </c>
      <c r="I2" s="49"/>
      <c r="J2" s="49"/>
      <c r="K2" s="49"/>
      <c r="L2" s="49"/>
      <c r="M2" s="49"/>
    </row>
    <row r="3" spans="1:13" ht="16" thickTop="1" x14ac:dyDescent="0.2">
      <c r="A3" s="23" t="s">
        <v>66</v>
      </c>
      <c r="B3" s="24">
        <v>38</v>
      </c>
      <c r="C3" s="24">
        <v>6094</v>
      </c>
      <c r="D3" s="24">
        <v>36</v>
      </c>
      <c r="E3" s="24" t="s">
        <v>26</v>
      </c>
      <c r="F3" s="24">
        <v>15</v>
      </c>
      <c r="G3" s="24">
        <v>2758</v>
      </c>
      <c r="H3" s="24" t="s">
        <v>27</v>
      </c>
      <c r="I3" s="24" t="s">
        <v>28</v>
      </c>
      <c r="J3" s="24" t="s">
        <v>29</v>
      </c>
      <c r="K3" s="24" t="s">
        <v>30</v>
      </c>
      <c r="L3" s="29">
        <v>0.01</v>
      </c>
      <c r="M3" s="33">
        <v>1</v>
      </c>
    </row>
    <row r="4" spans="1:13" x14ac:dyDescent="0.2">
      <c r="A4" s="25" t="s">
        <v>9</v>
      </c>
      <c r="B4" s="26">
        <v>30</v>
      </c>
      <c r="C4" s="26">
        <v>308</v>
      </c>
      <c r="D4" s="26">
        <v>18</v>
      </c>
      <c r="E4" s="26" t="s">
        <v>31</v>
      </c>
      <c r="F4" s="26">
        <v>37</v>
      </c>
      <c r="G4" s="26">
        <v>248</v>
      </c>
      <c r="H4" s="26" t="s">
        <v>32</v>
      </c>
      <c r="I4" s="26" t="s">
        <v>31</v>
      </c>
      <c r="J4" s="26" t="s">
        <v>33</v>
      </c>
      <c r="K4" s="26" t="s">
        <v>34</v>
      </c>
      <c r="L4" s="30">
        <v>0.05</v>
      </c>
      <c r="M4" s="34">
        <v>0.78</v>
      </c>
    </row>
    <row r="5" spans="1:13" x14ac:dyDescent="0.2">
      <c r="A5" s="25" t="s">
        <v>8</v>
      </c>
      <c r="B5" s="27">
        <v>510</v>
      </c>
      <c r="C5" s="27">
        <v>940</v>
      </c>
      <c r="D5" s="27">
        <v>67</v>
      </c>
      <c r="E5" s="27" t="s">
        <v>35</v>
      </c>
      <c r="F5" s="27">
        <v>197</v>
      </c>
      <c r="G5" s="27">
        <v>518</v>
      </c>
      <c r="H5" s="27" t="s">
        <v>36</v>
      </c>
      <c r="I5" s="27" t="s">
        <v>37</v>
      </c>
      <c r="J5" s="27" t="s">
        <v>38</v>
      </c>
      <c r="K5" s="27" t="s">
        <v>39</v>
      </c>
      <c r="L5" s="31">
        <v>0.13</v>
      </c>
      <c r="M5" s="35">
        <v>1.76</v>
      </c>
    </row>
    <row r="6" spans="1:13" x14ac:dyDescent="0.2">
      <c r="A6" s="25" t="s">
        <v>67</v>
      </c>
      <c r="B6" s="28">
        <v>577</v>
      </c>
      <c r="C6" s="28">
        <v>423</v>
      </c>
      <c r="D6" s="28">
        <v>150</v>
      </c>
      <c r="E6" s="28" t="s">
        <v>43</v>
      </c>
      <c r="F6" s="28">
        <v>38</v>
      </c>
      <c r="G6" s="28">
        <v>199</v>
      </c>
      <c r="H6" s="28" t="s">
        <v>44</v>
      </c>
      <c r="I6" s="28" t="s">
        <v>31</v>
      </c>
      <c r="J6" s="28" t="s">
        <v>45</v>
      </c>
      <c r="K6" s="28" t="s">
        <v>46</v>
      </c>
      <c r="L6" s="32">
        <v>0.27</v>
      </c>
      <c r="M6" s="36">
        <v>0.75</v>
      </c>
    </row>
    <row r="7" spans="1:13" x14ac:dyDescent="0.2">
      <c r="A7" s="25" t="s">
        <v>68</v>
      </c>
      <c r="B7" s="27">
        <v>3760</v>
      </c>
      <c r="C7" s="27">
        <v>4119</v>
      </c>
      <c r="D7" s="27">
        <v>3722</v>
      </c>
      <c r="E7" s="27" t="s">
        <v>47</v>
      </c>
      <c r="F7" s="27">
        <v>17</v>
      </c>
      <c r="G7" s="27">
        <v>222</v>
      </c>
      <c r="H7" s="27" t="s">
        <v>48</v>
      </c>
      <c r="I7" s="27" t="s">
        <v>49</v>
      </c>
      <c r="J7" s="27" t="s">
        <v>50</v>
      </c>
      <c r="K7" s="27" t="s">
        <v>51</v>
      </c>
      <c r="L7" s="31">
        <v>0.84</v>
      </c>
      <c r="M7" s="35">
        <v>0.93</v>
      </c>
    </row>
    <row r="8" spans="1:13" x14ac:dyDescent="0.2">
      <c r="A8" s="25" t="s">
        <v>69</v>
      </c>
      <c r="B8" s="28">
        <v>20</v>
      </c>
      <c r="C8" s="28">
        <v>144</v>
      </c>
      <c r="D8" s="28">
        <v>3</v>
      </c>
      <c r="E8" s="28" t="s">
        <v>52</v>
      </c>
      <c r="F8" s="28">
        <v>29</v>
      </c>
      <c r="G8" s="28">
        <v>40</v>
      </c>
      <c r="H8" s="28" t="s">
        <v>53</v>
      </c>
      <c r="I8" s="28" t="s">
        <v>54</v>
      </c>
      <c r="J8" s="28" t="s">
        <v>55</v>
      </c>
      <c r="K8" s="28" t="s">
        <v>56</v>
      </c>
      <c r="L8" s="32">
        <v>0.26</v>
      </c>
      <c r="M8" s="36">
        <v>12.33</v>
      </c>
    </row>
    <row r="9" spans="1:13" x14ac:dyDescent="0.2">
      <c r="A9" s="25" t="s">
        <v>70</v>
      </c>
      <c r="B9" s="27">
        <v>4992</v>
      </c>
      <c r="C9" s="27">
        <v>1727</v>
      </c>
      <c r="D9" s="27">
        <v>961</v>
      </c>
      <c r="E9" s="27" t="s">
        <v>31</v>
      </c>
      <c r="F9" s="27">
        <v>22</v>
      </c>
      <c r="G9" s="27">
        <v>692</v>
      </c>
      <c r="H9" s="27" t="s">
        <v>57</v>
      </c>
      <c r="I9" s="27" t="s">
        <v>31</v>
      </c>
      <c r="J9" s="27" t="s">
        <v>58</v>
      </c>
      <c r="K9" s="27" t="s">
        <v>59</v>
      </c>
      <c r="L9" s="31">
        <v>0.52</v>
      </c>
      <c r="M9" s="35">
        <v>0.93</v>
      </c>
    </row>
    <row r="10" spans="1:13" x14ac:dyDescent="0.2">
      <c r="A10" s="25" t="s">
        <v>10</v>
      </c>
      <c r="B10" s="28">
        <v>4994</v>
      </c>
      <c r="C10" s="28">
        <v>4994</v>
      </c>
      <c r="D10" s="28">
        <v>4994</v>
      </c>
      <c r="E10" s="28" t="s">
        <v>60</v>
      </c>
      <c r="F10" s="28">
        <v>0</v>
      </c>
      <c r="G10" s="28">
        <v>2262</v>
      </c>
      <c r="H10" s="28" t="s">
        <v>61</v>
      </c>
      <c r="I10" s="28" t="s">
        <v>62</v>
      </c>
      <c r="J10" s="28" t="s">
        <v>63</v>
      </c>
      <c r="K10" s="28" t="s">
        <v>64</v>
      </c>
      <c r="L10" s="32">
        <v>0</v>
      </c>
      <c r="M10" s="37">
        <v>1</v>
      </c>
    </row>
  </sheetData>
  <mergeCells count="11">
    <mergeCell ref="F1:H1"/>
    <mergeCell ref="A1:A2"/>
    <mergeCell ref="B1:B2"/>
    <mergeCell ref="C1:C2"/>
    <mergeCell ref="D1:D2"/>
    <mergeCell ref="E1:E2"/>
    <mergeCell ref="M1:M2"/>
    <mergeCell ref="I1:I2"/>
    <mergeCell ref="J1:J2"/>
    <mergeCell ref="K1:K2"/>
    <mergeCell ref="L1:L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9B0C-4827-4910-BF4F-3512A714E2FB}">
  <dimension ref="A1:N21"/>
  <sheetViews>
    <sheetView workbookViewId="0">
      <selection activeCell="L30" sqref="L30"/>
    </sheetView>
  </sheetViews>
  <sheetFormatPr baseColWidth="10" defaultColWidth="8.83203125" defaultRowHeight="15" x14ac:dyDescent="0.2"/>
  <cols>
    <col min="1" max="1" width="14.33203125" bestFit="1" customWidth="1"/>
    <col min="2" max="2" width="12.1640625" customWidth="1"/>
    <col min="3" max="3" width="11.83203125" bestFit="1" customWidth="1"/>
    <col min="4" max="4" width="12" customWidth="1"/>
    <col min="5" max="5" width="10.83203125" customWidth="1"/>
    <col min="6" max="6" width="7.5" customWidth="1"/>
    <col min="7" max="7" width="15" customWidth="1"/>
    <col min="8" max="8" width="7.5" customWidth="1"/>
    <col min="9" max="9" width="13.83203125" customWidth="1"/>
    <col min="11" max="11" width="10" customWidth="1"/>
    <col min="12" max="12" width="8.83203125" customWidth="1"/>
  </cols>
  <sheetData>
    <row r="1" spans="1:14" s="13" customFormat="1" ht="81.5" customHeight="1" x14ac:dyDescent="0.2">
      <c r="A1" s="53" t="s">
        <v>0</v>
      </c>
      <c r="B1" s="51" t="s">
        <v>15</v>
      </c>
      <c r="C1" s="51" t="s">
        <v>16</v>
      </c>
      <c r="D1" s="51" t="s">
        <v>72</v>
      </c>
      <c r="E1" s="51"/>
      <c r="F1" s="51" t="s">
        <v>73</v>
      </c>
      <c r="G1" s="51"/>
      <c r="H1" s="51" t="s">
        <v>40</v>
      </c>
      <c r="I1" s="51"/>
      <c r="J1" s="51" t="s">
        <v>74</v>
      </c>
      <c r="K1" s="52"/>
    </row>
    <row r="2" spans="1:14" ht="16" thickBot="1" x14ac:dyDescent="0.25">
      <c r="A2" s="54"/>
      <c r="B2" s="55"/>
      <c r="C2" s="55"/>
      <c r="D2" s="9" t="s">
        <v>41</v>
      </c>
      <c r="E2" s="9" t="s">
        <v>42</v>
      </c>
      <c r="F2" s="9" t="s">
        <v>41</v>
      </c>
      <c r="G2" s="9" t="s">
        <v>42</v>
      </c>
      <c r="H2" s="9" t="s">
        <v>41</v>
      </c>
      <c r="I2" s="9" t="s">
        <v>42</v>
      </c>
      <c r="J2" s="9" t="s">
        <v>41</v>
      </c>
      <c r="K2" s="10" t="s">
        <v>42</v>
      </c>
    </row>
    <row r="3" spans="1:14" ht="16" thickTop="1" x14ac:dyDescent="0.2">
      <c r="A3" s="38" t="s">
        <v>66</v>
      </c>
      <c r="B3" s="11">
        <v>38</v>
      </c>
      <c r="C3" s="11">
        <v>6094</v>
      </c>
      <c r="D3" s="11">
        <v>32</v>
      </c>
      <c r="E3" s="17">
        <v>0.84199999999999997</v>
      </c>
      <c r="F3" s="11">
        <v>36</v>
      </c>
      <c r="G3" s="17">
        <v>0.94699999999999995</v>
      </c>
      <c r="H3" s="11">
        <v>6</v>
      </c>
      <c r="I3" s="17">
        <v>0.13300000000000001</v>
      </c>
      <c r="J3" s="11">
        <v>0</v>
      </c>
      <c r="K3" s="17">
        <v>0</v>
      </c>
    </row>
    <row r="4" spans="1:14" x14ac:dyDescent="0.2">
      <c r="A4" s="39" t="s">
        <v>9</v>
      </c>
      <c r="B4" s="12">
        <v>30</v>
      </c>
      <c r="C4" s="12">
        <v>308</v>
      </c>
      <c r="D4" s="12">
        <v>30</v>
      </c>
      <c r="E4" s="18">
        <v>1</v>
      </c>
      <c r="F4" s="12">
        <v>28</v>
      </c>
      <c r="G4" s="18">
        <v>0.93300000000000005</v>
      </c>
      <c r="H4" s="12">
        <v>17</v>
      </c>
      <c r="I4" s="18">
        <v>0.73899999999999999</v>
      </c>
      <c r="J4" s="12">
        <v>12</v>
      </c>
      <c r="K4" s="18">
        <v>0.85699999999999998</v>
      </c>
    </row>
    <row r="5" spans="1:14" x14ac:dyDescent="0.2">
      <c r="A5" s="39" t="s">
        <v>8</v>
      </c>
      <c r="B5" s="14">
        <v>510</v>
      </c>
      <c r="C5" s="14">
        <v>940</v>
      </c>
      <c r="D5" s="14">
        <v>466</v>
      </c>
      <c r="E5" s="19">
        <v>0.91400000000000003</v>
      </c>
      <c r="F5" s="14">
        <v>390</v>
      </c>
      <c r="G5" s="19">
        <v>0.76500000000000001</v>
      </c>
      <c r="H5" s="14">
        <v>74</v>
      </c>
      <c r="I5" s="19">
        <v>0.36499999999999999</v>
      </c>
      <c r="J5" s="14">
        <v>54</v>
      </c>
      <c r="K5" s="19">
        <v>0.45800000000000002</v>
      </c>
    </row>
    <row r="6" spans="1:14" x14ac:dyDescent="0.2">
      <c r="A6" s="39" t="s">
        <v>67</v>
      </c>
      <c r="B6" s="15">
        <v>577</v>
      </c>
      <c r="C6" s="15">
        <v>423</v>
      </c>
      <c r="D6" s="15">
        <v>528</v>
      </c>
      <c r="E6" s="20">
        <v>0.91500000000000004</v>
      </c>
      <c r="F6" s="15">
        <v>560</v>
      </c>
      <c r="G6" s="20">
        <v>0.97099999999999997</v>
      </c>
      <c r="H6" s="15">
        <v>109</v>
      </c>
      <c r="I6" s="20">
        <v>0.626</v>
      </c>
      <c r="J6" s="15">
        <v>88</v>
      </c>
      <c r="K6" s="20">
        <v>0.77900000000000003</v>
      </c>
    </row>
    <row r="7" spans="1:14" x14ac:dyDescent="0.2">
      <c r="A7" s="39" t="s">
        <v>68</v>
      </c>
      <c r="B7" s="14">
        <v>3760</v>
      </c>
      <c r="C7" s="14">
        <v>4119</v>
      </c>
      <c r="D7" s="14">
        <v>3741</v>
      </c>
      <c r="E7" s="19">
        <v>0.995</v>
      </c>
      <c r="F7" s="14">
        <v>3716</v>
      </c>
      <c r="G7" s="19">
        <v>0.98799999999999999</v>
      </c>
      <c r="H7" s="14">
        <v>3529</v>
      </c>
      <c r="I7" s="19">
        <v>0.91300000000000003</v>
      </c>
      <c r="J7" s="14">
        <v>2857</v>
      </c>
      <c r="K7" s="19">
        <v>0.82699999999999996</v>
      </c>
      <c r="L7" s="47"/>
    </row>
    <row r="8" spans="1:14" x14ac:dyDescent="0.2">
      <c r="A8" s="39" t="s">
        <v>69</v>
      </c>
      <c r="B8" s="16">
        <v>20</v>
      </c>
      <c r="C8" s="16">
        <v>144</v>
      </c>
      <c r="D8" s="16">
        <v>17</v>
      </c>
      <c r="E8" s="21">
        <v>0.85</v>
      </c>
      <c r="F8" s="16">
        <v>19</v>
      </c>
      <c r="G8" s="21">
        <v>0.95</v>
      </c>
      <c r="H8" s="16">
        <v>12</v>
      </c>
      <c r="I8" s="21">
        <v>0.26700000000000002</v>
      </c>
      <c r="J8" s="16">
        <v>1</v>
      </c>
      <c r="K8" s="21">
        <v>2.7E-2</v>
      </c>
    </row>
    <row r="9" spans="1:14" x14ac:dyDescent="0.2">
      <c r="A9" s="39" t="s">
        <v>70</v>
      </c>
      <c r="B9" s="14">
        <v>4992</v>
      </c>
      <c r="C9" s="14">
        <v>1727</v>
      </c>
      <c r="D9" s="14">
        <v>4788</v>
      </c>
      <c r="E9" s="19">
        <v>0.95899999999999996</v>
      </c>
      <c r="F9" s="14">
        <v>4936</v>
      </c>
      <c r="G9" s="19">
        <v>0.98899999999999999</v>
      </c>
      <c r="H9" s="14">
        <v>568</v>
      </c>
      <c r="I9" s="19">
        <v>0.56100000000000005</v>
      </c>
      <c r="J9" s="14">
        <v>479</v>
      </c>
      <c r="K9" s="19">
        <v>0.53600000000000003</v>
      </c>
    </row>
    <row r="10" spans="1:14" x14ac:dyDescent="0.2">
      <c r="A10" s="40" t="s">
        <v>10</v>
      </c>
      <c r="B10" s="15">
        <v>0</v>
      </c>
      <c r="C10" s="15">
        <v>4994</v>
      </c>
      <c r="D10" s="15">
        <v>4811</v>
      </c>
      <c r="E10" s="20">
        <v>0.96299999999999997</v>
      </c>
      <c r="F10" s="15">
        <v>4854</v>
      </c>
      <c r="G10" s="20">
        <v>0.97199999999999998</v>
      </c>
      <c r="H10" s="15">
        <v>9</v>
      </c>
      <c r="I10" s="20">
        <v>0.69199999999999995</v>
      </c>
      <c r="J10" s="15">
        <v>0</v>
      </c>
      <c r="K10" s="20">
        <v>0</v>
      </c>
    </row>
    <row r="13" spans="1:14" x14ac:dyDescent="0.2">
      <c r="A13" s="41" t="s">
        <v>71</v>
      </c>
    </row>
    <row r="16" spans="1:14" x14ac:dyDescent="0.2">
      <c r="N16" t="s">
        <v>41</v>
      </c>
    </row>
    <row r="17" spans="8:14" x14ac:dyDescent="0.2">
      <c r="H17" s="42"/>
      <c r="I17" t="s">
        <v>75</v>
      </c>
      <c r="N17">
        <v>1</v>
      </c>
    </row>
    <row r="18" spans="8:14" x14ac:dyDescent="0.2">
      <c r="H18" s="43"/>
      <c r="I18" t="s">
        <v>76</v>
      </c>
      <c r="N18">
        <v>3</v>
      </c>
    </row>
    <row r="19" spans="8:14" x14ac:dyDescent="0.2">
      <c r="H19" s="44"/>
      <c r="I19" t="s">
        <v>77</v>
      </c>
      <c r="N19">
        <v>0</v>
      </c>
    </row>
    <row r="20" spans="8:14" x14ac:dyDescent="0.2">
      <c r="H20" s="45"/>
      <c r="I20" t="s">
        <v>78</v>
      </c>
      <c r="N20">
        <v>1</v>
      </c>
    </row>
    <row r="21" spans="8:14" x14ac:dyDescent="0.2">
      <c r="H21" s="46"/>
      <c r="I21" t="s">
        <v>79</v>
      </c>
      <c r="N21">
        <v>1</v>
      </c>
    </row>
  </sheetData>
  <mergeCells count="7">
    <mergeCell ref="D1:E1"/>
    <mergeCell ref="F1:G1"/>
    <mergeCell ref="H1:I1"/>
    <mergeCell ref="J1:K1"/>
    <mergeCell ref="A1:A2"/>
    <mergeCell ref="B1:B2"/>
    <mergeCell ref="C1:C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85f550-dda7-4907-9bf8-7b2c2d3501c2">
      <Terms xmlns="http://schemas.microsoft.com/office/infopath/2007/PartnerControls"/>
    </lcf76f155ced4ddcb4097134ff3c332f>
    <TaxCatchAll xmlns="fd0ce572-c2bb-42aa-ade2-d794e1c3f7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DFC3974F56844295E420FE765DA9E6" ma:contentTypeVersion="15" ma:contentTypeDescription="Create a new document." ma:contentTypeScope="" ma:versionID="6504a4ed6dfc64c67a41e771fb36c97a">
  <xsd:schema xmlns:xsd="http://www.w3.org/2001/XMLSchema" xmlns:xs="http://www.w3.org/2001/XMLSchema" xmlns:p="http://schemas.microsoft.com/office/2006/metadata/properties" xmlns:ns2="df85f550-dda7-4907-9bf8-7b2c2d3501c2" xmlns:ns3="fd0ce572-c2bb-42aa-ade2-d794e1c3f729" targetNamespace="http://schemas.microsoft.com/office/2006/metadata/properties" ma:root="true" ma:fieldsID="8926f7584dd7925709710433db666ffc" ns2:_="" ns3:_="">
    <xsd:import namespace="df85f550-dda7-4907-9bf8-7b2c2d3501c2"/>
    <xsd:import namespace="fd0ce572-c2bb-42aa-ade2-d794e1c3f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5f550-dda7-4907-9bf8-7b2c2d350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ce572-c2bb-42aa-ade2-d794e1c3f7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8f0221f-f3b3-47a4-becd-fb9dfa34b3ec}" ma:internalName="TaxCatchAll" ma:showField="CatchAllData" ma:web="fd0ce572-c2bb-42aa-ade2-d794e1c3f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D4E805-8149-464D-A64F-26CFF804DA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9DBF33-0BAA-4D29-BF55-D9E1BFC12AD9}">
  <ds:schemaRefs>
    <ds:schemaRef ds:uri="24a3bb3d-4785-470c-bb5a-e6cd9d3e3a08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df85f550-dda7-4907-9bf8-7b2c2d3501c2"/>
    <ds:schemaRef ds:uri="fd0ce572-c2bb-42aa-ade2-d794e1c3f729"/>
  </ds:schemaRefs>
</ds:datastoreItem>
</file>

<file path=customXml/itemProps3.xml><?xml version="1.0" encoding="utf-8"?>
<ds:datastoreItem xmlns:ds="http://schemas.openxmlformats.org/officeDocument/2006/customXml" ds:itemID="{2610A13B-0BFE-437E-9ADA-0D4C87D210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Graph. SignalOutcomes</vt:lpstr>
      <vt:lpstr>Graph. PPVvDE</vt:lpstr>
      <vt:lpstr>Table. Completeness</vt:lpstr>
      <vt:lpstr>Table. Timeliness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Fazekas Salyer, Stephanie J. (CDC/GHC/DGHP)</dc:creator>
  <cp:keywords/>
  <dc:description/>
  <cp:lastModifiedBy>Svendsen, Kerstin</cp:lastModifiedBy>
  <cp:revision/>
  <dcterms:created xsi:type="dcterms:W3CDTF">2025-07-17T18:03:29Z</dcterms:created>
  <dcterms:modified xsi:type="dcterms:W3CDTF">2025-11-18T17:22:41Z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2025-07-17T18:04:43Z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408572ab-6c11-47ac-94ad-20a6ea458f45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0x01010018DFC3974F56844295E420FE765DA9E6</vt:lpwstr>
  </property>
  <property fmtid="{D5CDD505-2E9C-101B-9397-08002B2CF9AE}" pid="10" name="xd_ProgID">
    <vt:lpwstr/>
  </property>
  <property fmtid="{D5CDD505-2E9C-101B-9397-08002B2CF9AE}" pid="11" name="MediaServiceImageTags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